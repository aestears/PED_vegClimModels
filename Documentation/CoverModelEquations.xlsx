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ears/Documents/Dropbox_static/Work/NAU_USGS_postdoc/cleanPED/PED_vegClimModels/Documentation/"/>
    </mc:Choice>
  </mc:AlternateContent>
  <xr:revisionPtr revIDLastSave="0" documentId="13_ncr:1_{34CDBE62-CD7B-A742-A507-2BC19B2CADF3}" xr6:coauthVersionLast="47" xr6:coauthVersionMax="47" xr10:uidLastSave="{00000000-0000-0000-0000-000000000000}"/>
  <bookViews>
    <workbookView xWindow="0" yWindow="660" windowWidth="34560" windowHeight="19780" xr2:uid="{11994C8F-3CB5-8346-9650-E956A8234D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<sst xmlns="http://schemas.openxmlformats.org/spreadsheetml/2006/main" count="351" uniqueCount="193">
  <si>
    <t>Response Variable</t>
  </si>
  <si>
    <t>Absolute total tree cover in forests</t>
  </si>
  <si>
    <t>Absolute total tree cover in non-forests</t>
  </si>
  <si>
    <t>Probability of Forest (Continuous)</t>
  </si>
  <si>
    <t>Absolute total herbaceous cover</t>
  </si>
  <si>
    <t>Absolute bare ground cover</t>
  </si>
  <si>
    <t>Absolute shrub cover</t>
  </si>
  <si>
    <t>proportion of absolute total tree cover that is needle-leaved trees</t>
  </si>
  <si>
    <t>proportion of absolute total tree cover that is broad-leaved trees</t>
  </si>
  <si>
    <t>Predictor1</t>
  </si>
  <si>
    <t>Predictor2</t>
  </si>
  <si>
    <t>Predictor3</t>
  </si>
  <si>
    <t>Predictor4</t>
  </si>
  <si>
    <t>Predictor5</t>
  </si>
  <si>
    <t>Predictor6</t>
  </si>
  <si>
    <t>Predictor7</t>
  </si>
  <si>
    <t>Predictor8</t>
  </si>
  <si>
    <t>Predictor9</t>
  </si>
  <si>
    <t>Predictor10</t>
  </si>
  <si>
    <t>proportion of absolute total herbaceous cover that is forbs</t>
  </si>
  <si>
    <t>proportion of absolute total herbaceous cover that is C3 grass</t>
  </si>
  <si>
    <t>proportion of absolute total herbaceous cover that is C4 grass</t>
  </si>
  <si>
    <t>Intercept</t>
  </si>
  <si>
    <t>Coefficient1</t>
  </si>
  <si>
    <t>Coefficient2</t>
  </si>
  <si>
    <t>Coefficient3</t>
  </si>
  <si>
    <t>Coefficient4</t>
  </si>
  <si>
    <t>Coefficient5</t>
  </si>
  <si>
    <t>tmean_scaled</t>
  </si>
  <si>
    <t>prcp_scaled</t>
  </si>
  <si>
    <t>prcpTempCorr_scaled</t>
  </si>
  <si>
    <t>isothermality_scaled</t>
  </si>
  <si>
    <t>clay_scaled</t>
  </si>
  <si>
    <t>Coefficient6</t>
  </si>
  <si>
    <t>Coefficient7</t>
  </si>
  <si>
    <t>coarse_scaled</t>
  </si>
  <si>
    <t>Coefficient8</t>
  </si>
  <si>
    <t>Coefficient9</t>
  </si>
  <si>
    <t>Coefficient10</t>
  </si>
  <si>
    <t>Coefficient11</t>
  </si>
  <si>
    <t>Predictor11</t>
  </si>
  <si>
    <t>Coefficient12</t>
  </si>
  <si>
    <t>Predictor12</t>
  </si>
  <si>
    <t>Coefficient13</t>
  </si>
  <si>
    <t>Predictor13</t>
  </si>
  <si>
    <t>Coefficient14</t>
  </si>
  <si>
    <t>Predictor14</t>
  </si>
  <si>
    <t>prcp_scaled^2</t>
  </si>
  <si>
    <t>prcpTempCorr_scaled^2</t>
  </si>
  <si>
    <t>AWHC_scaled^2</t>
  </si>
  <si>
    <t>coarse_scaled^2</t>
  </si>
  <si>
    <t>clay_scaled^2</t>
  </si>
  <si>
    <t>isothermality_scaled^2</t>
  </si>
  <si>
    <t>prcp_scaled*isothermality_scaled</t>
  </si>
  <si>
    <t>Coefficient15</t>
  </si>
  <si>
    <t>Predictor15</t>
  </si>
  <si>
    <t>Coefficient16</t>
  </si>
  <si>
    <t>Predictor16</t>
  </si>
  <si>
    <t>Coefficient17</t>
  </si>
  <si>
    <t>Predictor17</t>
  </si>
  <si>
    <t>tmean_scaled*isothermality_scaled</t>
  </si>
  <si>
    <t>tmean_scaled:prcp_scaled</t>
  </si>
  <si>
    <t>tmean_scaled*prcpTempCorr_scaled</t>
  </si>
  <si>
    <t>Coefficient18</t>
  </si>
  <si>
    <t>Predictor18</t>
  </si>
  <si>
    <t>clay_scaled*AWHC_scaled</t>
  </si>
  <si>
    <t>EquationID</t>
  </si>
  <si>
    <t>1/ (1 + exp(-(Intercept + Coefficient_1*Predictor_1 + … + Coefficient_n * Predictor_n)))</t>
  </si>
  <si>
    <t>annWetDegDays_scaled</t>
  </si>
  <si>
    <t>AWHC_scaled</t>
  </si>
  <si>
    <t>isothermality_anom_scaled</t>
  </si>
  <si>
    <t>annWetDegDays_anom_scaled</t>
  </si>
  <si>
    <t>tmean_scaled^2</t>
  </si>
  <si>
    <t>annWetDegDays_scaled^2</t>
  </si>
  <si>
    <t>prcpTempCorr_anom_scaled^2</t>
  </si>
  <si>
    <t>isothermality_anom_scaled^2</t>
  </si>
  <si>
    <t>annWetDegDays_anom_scaled^2</t>
  </si>
  <si>
    <t>Coefficient19</t>
  </si>
  <si>
    <t>Predictor19</t>
  </si>
  <si>
    <t>Coefficient20</t>
  </si>
  <si>
    <t>Predictor20</t>
  </si>
  <si>
    <t>Coefficient21</t>
  </si>
  <si>
    <t>Predictor21</t>
  </si>
  <si>
    <t>Coefficient22</t>
  </si>
  <si>
    <t>Predictor22</t>
  </si>
  <si>
    <t>isothermality_scaled*annWetDegDays_scaled</t>
  </si>
  <si>
    <t>annWetDegDays_scaled*isothermality_anom_scaled</t>
  </si>
  <si>
    <t>prcpTempCorr_scaled*annWetDegDays_scaled</t>
  </si>
  <si>
    <t>tmean_scaled*annWetDegDays_scaled</t>
  </si>
  <si>
    <t>Coefficient23</t>
  </si>
  <si>
    <t>Predictor23</t>
  </si>
  <si>
    <t>Coefficient24</t>
  </si>
  <si>
    <t>Predictor24</t>
  </si>
  <si>
    <t>Coefficient25</t>
  </si>
  <si>
    <t>Predictor25</t>
  </si>
  <si>
    <t>Coefficient26</t>
  </si>
  <si>
    <t>Predictor26</t>
  </si>
  <si>
    <t>Coefficient27</t>
  </si>
  <si>
    <t>Predictor27</t>
  </si>
  <si>
    <t>Coefficient28</t>
  </si>
  <si>
    <t>Predictor28</t>
  </si>
  <si>
    <t>Coefficient29</t>
  </si>
  <si>
    <t>Predictor29</t>
  </si>
  <si>
    <t>isothermality_scaled*annWetDegDays_anom_scaled</t>
  </si>
  <si>
    <t>isothermality_anom_scaled*annWetDegDays_anom_scaled</t>
  </si>
  <si>
    <t>prcpTempCorr_scaled*annWetDegDays_anom_scaled</t>
  </si>
  <si>
    <t>prcpTempCorr_anom_scaled*annWetDegDays_anom_scaled</t>
  </si>
  <si>
    <t>tmean_scaled*annWetDegDays_anom_scaled</t>
  </si>
  <si>
    <t>isothermality_scaled*isothermality_anom</t>
  </si>
  <si>
    <t>prcpTempCorr_scaled*isothermality_scaled</t>
  </si>
  <si>
    <t>isothermality_scaled*prcpTempCorr_anom_scaled</t>
  </si>
  <si>
    <t>prcp_scaled*isothermality_anom_scaled</t>
  </si>
  <si>
    <t>prcpTempCorr_scaled*isothermality_anom_scaled</t>
  </si>
  <si>
    <t>prcpTempCorr_anom_scaled*isothermality_anom_scaled</t>
  </si>
  <si>
    <t>tmean_scaled*isothermality_anom_scaled</t>
  </si>
  <si>
    <t>prcp_scaled*prcpTempCorr_scaled</t>
  </si>
  <si>
    <t>prcpTempCorr_scaled*prcpTempCorr_anom_scaled</t>
  </si>
  <si>
    <t>tmean_scaled*prcpTempCorr_anom_scaled</t>
  </si>
  <si>
    <t>clay_scaled*coarse_scaled</t>
  </si>
  <si>
    <t>Coefficient30</t>
  </si>
  <si>
    <t>Predictor30</t>
  </si>
  <si>
    <t>Coefficient31</t>
  </si>
  <si>
    <t>Predictor31</t>
  </si>
  <si>
    <t>Coefficient32</t>
  </si>
  <si>
    <t>Predictor32</t>
  </si>
  <si>
    <t>Coefficient33</t>
  </si>
  <si>
    <t>Predictor33</t>
  </si>
  <si>
    <t>Coefficient34</t>
  </si>
  <si>
    <t>Predictor34</t>
  </si>
  <si>
    <t>Coefficient35</t>
  </si>
  <si>
    <t>Predictor35</t>
  </si>
  <si>
    <t>Coefficient36</t>
  </si>
  <si>
    <t>Predictor36</t>
  </si>
  <si>
    <t>Coefficient37</t>
  </si>
  <si>
    <t>Predictor37</t>
  </si>
  <si>
    <t>Coefficient38</t>
  </si>
  <si>
    <t>Predictor38</t>
  </si>
  <si>
    <t>Coefficient39</t>
  </si>
  <si>
    <t>Predictor39</t>
  </si>
  <si>
    <t>Coefficient40</t>
  </si>
  <si>
    <t>Predictor40</t>
  </si>
  <si>
    <t>Coefficient41</t>
  </si>
  <si>
    <t>Predictor41</t>
  </si>
  <si>
    <t>Coefficient42</t>
  </si>
  <si>
    <t>Predictor42</t>
  </si>
  <si>
    <t>Coefficient43</t>
  </si>
  <si>
    <t>Predictor43</t>
  </si>
  <si>
    <t>Coefficient44</t>
  </si>
  <si>
    <t>Predictor44</t>
  </si>
  <si>
    <t>Coefficient45</t>
  </si>
  <si>
    <t>Predictor45</t>
  </si>
  <si>
    <t>prcp_dry_scaled</t>
  </si>
  <si>
    <t>prcp_dry_scaled^2</t>
  </si>
  <si>
    <t>EquationForm</t>
  </si>
  <si>
    <t>pcrp_scaled</t>
  </si>
  <si>
    <t>annWatDef_scaled</t>
  </si>
  <si>
    <t>sand_scaled</t>
  </si>
  <si>
    <t>isothermality_scaled*prcpTempCorr_scaled</t>
  </si>
  <si>
    <t>prcp_scaled*prcp_dry_scaled</t>
  </si>
  <si>
    <t>prcp_dry_scaled*prcpTempCorr_scaled</t>
  </si>
  <si>
    <t>prcpTempCorr_scaled*tmean_scaled</t>
  </si>
  <si>
    <t>annwetDegDays_scaled</t>
  </si>
  <si>
    <t>AWHC_scaled*clay_scaled</t>
  </si>
  <si>
    <t>prcpTempCorr_anom_scaled</t>
  </si>
  <si>
    <t>tmean:isothermality_scaled</t>
  </si>
  <si>
    <t>clay_scaled:coarse_scaled</t>
  </si>
  <si>
    <t>coarse_scaled:AWHC_scaled</t>
  </si>
  <si>
    <t>clay_scaled:AWHC_scaled</t>
  </si>
  <si>
    <t>tmean_scaled:prcpTempCorr_anom_scaled</t>
  </si>
  <si>
    <t>tmean_scaled:prcpTempCorr_scaled</t>
  </si>
  <si>
    <t>prcpTempCorr_scaled:prcpTempCorr_anom_scaled</t>
  </si>
  <si>
    <t>prcp_scaled:prcpTempCorr_scaled</t>
  </si>
  <si>
    <t>tmean_scaled:isothermality_anom_scaled</t>
  </si>
  <si>
    <t>prcpTempCorr_anom_scaled:isothermality_anom_scaled</t>
  </si>
  <si>
    <t>prcpTempCorr_scaled:isothermality_anom_scaled</t>
  </si>
  <si>
    <t>prcp_scaled:isothermality_anom_scaled</t>
  </si>
  <si>
    <t>tmean_scaled:isothermality_scaled</t>
  </si>
  <si>
    <t>isothermality_scaled:prcpTempCorr_anom_scaled</t>
  </si>
  <si>
    <t>prcpTempCorr_scaled:isothermality_scaled</t>
  </si>
  <si>
    <t>isothermality_scaled:isothermality_anom_scaled</t>
  </si>
  <si>
    <t>tmean_scaled:annWetDegDays_anom_scaled</t>
  </si>
  <si>
    <t>prcpTempCorr_anom_scaled:annWetDegDays_anom_scaled</t>
  </si>
  <si>
    <t>prcpTempCorr_scaled:annWetDegDays_anom_scaled</t>
  </si>
  <si>
    <t>isothermality_scaled:annWetDegDays_anom_scaled</t>
  </si>
  <si>
    <t>tmean_scaled:annWetDegDays_scaled</t>
  </si>
  <si>
    <t>prcpTempCorr_scaled:annWetDegDays_scaled</t>
  </si>
  <si>
    <t>isothermality_scaled:annWetDegDays_scaled</t>
  </si>
  <si>
    <t>annWetDegDays_scaled:prcpTempCorr_scaled</t>
  </si>
  <si>
    <t>isothermality_scaled:prcpTempCorr_scaled</t>
  </si>
  <si>
    <t>isothermality_anom_scaled^2)</t>
  </si>
  <si>
    <t>annWetDegDays_anom_scaled:prcpTempCorr_anom_scaled</t>
  </si>
  <si>
    <t>prcp_scaled:isothermality_scaled</t>
  </si>
  <si>
    <t>AWHC_scaled:clay_scaled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</si>
</sst>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5024-B010-D046-8B02-06BF2AB91B4B}">
  <dimension ref="A1:CP12"/>
  <sheetViews>
    <sheetView tabSelected="1" topLeftCell="CN1" workbookViewId="0">
      <selection activeCell="CU30" sqref="CU30"/>
    </sheetView>
  </sheetViews>
  <sheetFormatPr baseColWidth="10" defaultRowHeight="16" x14ac:dyDescent="0.2"/>
  <cols>
    <col min="1" max="1" width="10.83203125" style="5"/>
    <col min="2" max="2" width="47.6640625" style="5" customWidth="1"/>
    <col min="3" max="3" width="11.1640625" style="5" customWidth="1"/>
    <col min="4" max="5" width="10.83203125" style="6"/>
    <col min="6" max="7" width="10.83203125" style="5"/>
    <col min="8" max="9" width="10.83203125" style="6"/>
    <col min="10" max="11" width="10.83203125" style="5"/>
    <col min="12" max="13" width="10.83203125" style="6"/>
    <col min="14" max="15" width="10.83203125" style="5"/>
    <col min="16" max="17" width="10.83203125" style="6"/>
    <col min="18" max="19" width="10.83203125" style="5"/>
    <col min="20" max="21" width="10.83203125" style="6"/>
    <col min="22" max="23" width="10.83203125" style="5"/>
    <col min="24" max="25" width="10.83203125" style="6"/>
    <col min="26" max="27" width="10.83203125" style="5"/>
    <col min="28" max="29" width="10.83203125" style="6"/>
    <col min="30" max="31" width="10.83203125" style="5"/>
    <col min="32" max="33" width="10.83203125" style="6"/>
    <col min="34" max="35" width="10.83203125" style="5"/>
    <col min="36" max="37" width="10.83203125" style="6"/>
    <col min="38" max="39" width="10.83203125" style="5"/>
    <col min="40" max="41" width="10.83203125" style="6"/>
    <col min="42" max="43" width="10.83203125" style="5"/>
    <col min="44" max="45" width="10.83203125" style="6"/>
    <col min="46" max="47" width="10.83203125" style="5"/>
    <col min="48" max="49" width="10.83203125" style="6"/>
    <col min="50" max="51" width="10.83203125" style="5"/>
    <col min="52" max="53" width="10.83203125" style="6"/>
    <col min="54" max="55" width="10.83203125" style="5"/>
    <col min="56" max="57" width="10.83203125" style="6"/>
    <col min="58" max="59" width="10.83203125" style="5"/>
    <col min="60" max="61" width="10.83203125" style="6"/>
    <col min="62" max="63" width="10.83203125" style="5"/>
    <col min="64" max="65" width="10.83203125" style="6"/>
    <col min="66" max="67" width="10.83203125" style="5"/>
    <col min="68" max="69" width="10.83203125" style="6"/>
    <col min="70" max="71" width="10.83203125" style="5"/>
    <col min="72" max="73" width="10.83203125" style="6"/>
    <col min="74" max="75" width="10.83203125" style="5"/>
    <col min="76" max="77" width="10.83203125" style="6"/>
    <col min="78" max="79" width="10.83203125" style="5"/>
    <col min="80" max="81" width="10.83203125" style="6"/>
    <col min="82" max="83" width="10.83203125" style="5"/>
    <col min="84" max="85" width="10.83203125" style="6"/>
    <col min="86" max="87" width="10.83203125" style="7"/>
    <col min="88" max="89" width="10.83203125" style="6"/>
    <col min="90" max="91" width="10.83203125" style="7"/>
    <col min="92" max="93" width="10.83203125" style="6"/>
    <col min="94" max="94" width="10.83203125" style="7"/>
    <col min="95" max="16384" width="10.83203125" style="5"/>
  </cols>
  <sheetData>
    <row r="1" spans="1:94" s="1" customFormat="1" x14ac:dyDescent="0.2">
      <c r="A1" s="1" t="s">
        <v>66</v>
      </c>
      <c r="B1" s="1" t="s">
        <v>0</v>
      </c>
      <c r="C1" s="1" t="s">
        <v>22</v>
      </c>
      <c r="D1" s="2" t="s">
        <v>23</v>
      </c>
      <c r="E1" s="2" t="s">
        <v>9</v>
      </c>
      <c r="F1" s="1" t="s">
        <v>24</v>
      </c>
      <c r="G1" s="1" t="s">
        <v>10</v>
      </c>
      <c r="H1" s="3" t="s">
        <v>25</v>
      </c>
      <c r="I1" s="3" t="s">
        <v>11</v>
      </c>
      <c r="J1" s="4" t="s">
        <v>26</v>
      </c>
      <c r="K1" s="4" t="s">
        <v>12</v>
      </c>
      <c r="L1" s="3" t="s">
        <v>27</v>
      </c>
      <c r="M1" s="3" t="s">
        <v>13</v>
      </c>
      <c r="N1" s="4" t="s">
        <v>33</v>
      </c>
      <c r="O1" s="4" t="s">
        <v>14</v>
      </c>
      <c r="P1" s="3" t="s">
        <v>34</v>
      </c>
      <c r="Q1" s="3" t="s">
        <v>15</v>
      </c>
      <c r="R1" s="4" t="s">
        <v>36</v>
      </c>
      <c r="S1" s="4" t="s">
        <v>16</v>
      </c>
      <c r="T1" s="3" t="s">
        <v>37</v>
      </c>
      <c r="U1" s="3" t="s">
        <v>17</v>
      </c>
      <c r="V1" s="4" t="s">
        <v>38</v>
      </c>
      <c r="W1" s="4" t="s">
        <v>18</v>
      </c>
      <c r="X1" s="3" t="s">
        <v>39</v>
      </c>
      <c r="Y1" s="3" t="s">
        <v>40</v>
      </c>
      <c r="Z1" s="4" t="s">
        <v>41</v>
      </c>
      <c r="AA1" s="4" t="s">
        <v>42</v>
      </c>
      <c r="AB1" s="3" t="s">
        <v>43</v>
      </c>
      <c r="AC1" s="3" t="s">
        <v>44</v>
      </c>
      <c r="AD1" s="4" t="s">
        <v>45</v>
      </c>
      <c r="AE1" s="4" t="s">
        <v>46</v>
      </c>
      <c r="AF1" s="3" t="s">
        <v>54</v>
      </c>
      <c r="AG1" s="3" t="s">
        <v>55</v>
      </c>
      <c r="AH1" s="4" t="s">
        <v>56</v>
      </c>
      <c r="AI1" s="4" t="s">
        <v>57</v>
      </c>
      <c r="AJ1" s="3" t="s">
        <v>58</v>
      </c>
      <c r="AK1" s="3" t="s">
        <v>59</v>
      </c>
      <c r="AL1" s="4" t="s">
        <v>63</v>
      </c>
      <c r="AM1" s="4" t="s">
        <v>64</v>
      </c>
      <c r="AN1" s="3" t="s">
        <v>77</v>
      </c>
      <c r="AO1" s="3" t="s">
        <v>78</v>
      </c>
      <c r="AP1" s="4" t="s">
        <v>79</v>
      </c>
      <c r="AQ1" s="4" t="s">
        <v>80</v>
      </c>
      <c r="AR1" s="3" t="s">
        <v>81</v>
      </c>
      <c r="AS1" s="3" t="s">
        <v>82</v>
      </c>
      <c r="AT1" s="4" t="s">
        <v>83</v>
      </c>
      <c r="AU1" s="4" t="s">
        <v>84</v>
      </c>
      <c r="AV1" s="3" t="s">
        <v>89</v>
      </c>
      <c r="AW1" s="3" t="s">
        <v>90</v>
      </c>
      <c r="AX1" s="4" t="s">
        <v>91</v>
      </c>
      <c r="AY1" s="4" t="s">
        <v>92</v>
      </c>
      <c r="AZ1" s="3" t="s">
        <v>93</v>
      </c>
      <c r="BA1" s="3" t="s">
        <v>94</v>
      </c>
      <c r="BB1" s="4" t="s">
        <v>95</v>
      </c>
      <c r="BC1" s="4" t="s">
        <v>96</v>
      </c>
      <c r="BD1" s="3" t="s">
        <v>97</v>
      </c>
      <c r="BE1" s="3" t="s">
        <v>98</v>
      </c>
      <c r="BF1" s="4" t="s">
        <v>99</v>
      </c>
      <c r="BG1" s="4" t="s">
        <v>100</v>
      </c>
      <c r="BH1" s="3" t="s">
        <v>101</v>
      </c>
      <c r="BI1" s="3" t="s">
        <v>102</v>
      </c>
      <c r="BJ1" s="4" t="s">
        <v>119</v>
      </c>
      <c r="BK1" s="4" t="s">
        <v>120</v>
      </c>
      <c r="BL1" s="3" t="s">
        <v>121</v>
      </c>
      <c r="BM1" s="3" t="s">
        <v>122</v>
      </c>
      <c r="BN1" s="4" t="s">
        <v>123</v>
      </c>
      <c r="BO1" s="4" t="s">
        <v>124</v>
      </c>
      <c r="BP1" s="3" t="s">
        <v>125</v>
      </c>
      <c r="BQ1" s="3" t="s">
        <v>126</v>
      </c>
      <c r="BR1" s="4" t="s">
        <v>127</v>
      </c>
      <c r="BS1" s="4" t="s">
        <v>128</v>
      </c>
      <c r="BT1" s="3" t="s">
        <v>129</v>
      </c>
      <c r="BU1" s="3" t="s">
        <v>130</v>
      </c>
      <c r="BV1" s="4" t="s">
        <v>131</v>
      </c>
      <c r="BW1" s="4" t="s">
        <v>132</v>
      </c>
      <c r="BX1" s="3" t="s">
        <v>133</v>
      </c>
      <c r="BY1" s="3" t="s">
        <v>134</v>
      </c>
      <c r="BZ1" s="4" t="s">
        <v>135</v>
      </c>
      <c r="CA1" s="4" t="s">
        <v>136</v>
      </c>
      <c r="CB1" s="3" t="s">
        <v>137</v>
      </c>
      <c r="CC1" s="3" t="s">
        <v>138</v>
      </c>
      <c r="CD1" s="4" t="s">
        <v>139</v>
      </c>
      <c r="CE1" s="4" t="s">
        <v>140</v>
      </c>
      <c r="CF1" s="3" t="s">
        <v>141</v>
      </c>
      <c r="CG1" s="3" t="s">
        <v>142</v>
      </c>
      <c r="CH1" s="4" t="s">
        <v>143</v>
      </c>
      <c r="CI1" s="4" t="s">
        <v>144</v>
      </c>
      <c r="CJ1" s="3" t="s">
        <v>145</v>
      </c>
      <c r="CK1" s="3" t="s">
        <v>146</v>
      </c>
      <c r="CL1" s="4" t="s">
        <v>147</v>
      </c>
      <c r="CM1" s="4" t="s">
        <v>148</v>
      </c>
      <c r="CN1" s="3" t="s">
        <v>149</v>
      </c>
      <c r="CO1" s="3" t="s">
        <v>150</v>
      </c>
      <c r="CP1" s="8" t="s">
        <v>153</v>
      </c>
    </row>
    <row r="2" spans="1:94" x14ac:dyDescent="0.2">
      <c r="A2" s="5">
        <v>1</v>
      </c>
      <c r="B2" s="5" t="s">
        <v>3</v>
      </c>
      <c r="C2" s="5">
        <v>3.3856549999999999</v>
      </c>
      <c r="D2" s="6">
        <f>-0.798222</f>
        <v>-0.79822199999999999</v>
      </c>
      <c r="E2" s="6" t="s">
        <v>28</v>
      </c>
      <c r="F2" s="5">
        <v>4.7453609999999999</v>
      </c>
      <c r="G2" s="5" t="s">
        <v>29</v>
      </c>
      <c r="H2" s="6">
        <v>-0.49798700000000001</v>
      </c>
      <c r="I2" s="6" t="s">
        <v>30</v>
      </c>
      <c r="J2" s="5">
        <v>0.22745499999999999</v>
      </c>
      <c r="K2" s="5" t="s">
        <v>31</v>
      </c>
      <c r="L2" s="6">
        <v>-0.390513</v>
      </c>
      <c r="M2" s="6" t="s">
        <v>32</v>
      </c>
      <c r="N2" s="5">
        <v>0.53857100000000002</v>
      </c>
      <c r="O2" s="5" t="s">
        <v>35</v>
      </c>
      <c r="P2" s="6">
        <v>-0.40059800000000001</v>
      </c>
      <c r="Q2" s="6" t="s">
        <v>69</v>
      </c>
      <c r="R2" s="5">
        <v>-0.83406999999999998</v>
      </c>
      <c r="S2" s="5" t="s">
        <v>47</v>
      </c>
      <c r="T2" s="6">
        <v>-0.94850299999999999</v>
      </c>
      <c r="U2" s="6" t="s">
        <v>48</v>
      </c>
      <c r="V2" s="5">
        <v>0.19450600000000001</v>
      </c>
      <c r="W2" s="5" t="s">
        <v>52</v>
      </c>
      <c r="X2" s="6">
        <v>-4.7726999999999999E-2</v>
      </c>
      <c r="Y2" s="6" t="s">
        <v>51</v>
      </c>
      <c r="Z2" s="5">
        <v>-0.26519999999999999</v>
      </c>
      <c r="AA2" s="5" t="s">
        <v>50</v>
      </c>
      <c r="AB2" s="6">
        <v>7.4388999999999997E-2</v>
      </c>
      <c r="AC2" s="6" t="s">
        <v>49</v>
      </c>
      <c r="AD2" s="5">
        <v>-0.29049799999999998</v>
      </c>
      <c r="AE2" s="5" t="s">
        <v>53</v>
      </c>
      <c r="AF2" s="6">
        <v>-0.16800599999999999</v>
      </c>
      <c r="AG2" s="6" t="s">
        <v>60</v>
      </c>
      <c r="AH2" s="5">
        <v>7.6255000000000003E-2</v>
      </c>
      <c r="AI2" s="5" t="s">
        <v>61</v>
      </c>
      <c r="AJ2" s="6">
        <v>-0.55536200000000002</v>
      </c>
      <c r="AK2" s="6" t="s">
        <v>62</v>
      </c>
      <c r="AL2" s="5">
        <v>-0.37720999999999999</v>
      </c>
      <c r="AM2" s="5" t="s">
        <v>65</v>
      </c>
      <c r="CP2" s="7" t="s">
        <v>67</v>
      </c>
    </row>
    <row r="3" spans="1:94" x14ac:dyDescent="0.2">
      <c r="A3" s="5">
        <v>2</v>
      </c>
      <c r="B3" s="5" t="s">
        <v>1</v>
      </c>
      <c r="C3" s="5">
        <v>-0.14550162</v>
      </c>
      <c r="D3" s="6">
        <v>0.39496901000000001</v>
      </c>
      <c r="E3" s="6" t="s">
        <v>154</v>
      </c>
      <c r="F3" s="5">
        <v>0.45402154</v>
      </c>
      <c r="G3" s="5" t="s">
        <v>151</v>
      </c>
      <c r="H3" s="6">
        <v>-3.774131E-2</v>
      </c>
      <c r="I3" s="6" t="s">
        <v>31</v>
      </c>
      <c r="J3" s="5">
        <v>-0.19073238000000001</v>
      </c>
      <c r="K3" s="5" t="s">
        <v>155</v>
      </c>
      <c r="L3" s="6">
        <v>-3.9033449999999997E-2</v>
      </c>
      <c r="M3" s="6" t="s">
        <v>156</v>
      </c>
      <c r="N3" s="5">
        <v>4.925156E-2</v>
      </c>
      <c r="O3" s="5" t="s">
        <v>69</v>
      </c>
      <c r="P3" s="6">
        <v>-8.0673439999999999E-2</v>
      </c>
      <c r="Q3" s="6" t="s">
        <v>72</v>
      </c>
      <c r="R3" s="5">
        <v>-4.8379980000000003E-2</v>
      </c>
      <c r="S3" s="5" t="s">
        <v>157</v>
      </c>
      <c r="T3" s="6">
        <v>-0.17399395000000001</v>
      </c>
      <c r="U3" s="6" t="s">
        <v>158</v>
      </c>
      <c r="V3" s="5">
        <v>0.15772348999999999</v>
      </c>
      <c r="W3" s="5" t="s">
        <v>159</v>
      </c>
      <c r="X3" s="6">
        <v>-0.14900854999999999</v>
      </c>
      <c r="Y3" s="6" t="s">
        <v>160</v>
      </c>
      <c r="CP3" s="7" t="s">
        <v>67</v>
      </c>
    </row>
    <row r="4" spans="1:94" x14ac:dyDescent="0.2">
      <c r="A4" s="5">
        <v>3</v>
      </c>
      <c r="B4" s="5" t="s">
        <v>2</v>
      </c>
      <c r="C4" s="5">
        <v>0.56998409900000002</v>
      </c>
      <c r="D4" s="6">
        <v>0.51250426699999996</v>
      </c>
      <c r="E4" s="6" t="s">
        <v>28</v>
      </c>
      <c r="F4" s="5">
        <v>1.431187175</v>
      </c>
      <c r="G4" s="5" t="s">
        <v>151</v>
      </c>
      <c r="H4" s="6">
        <v>-1.5606823000000001E-2</v>
      </c>
      <c r="I4" s="6" t="s">
        <v>30</v>
      </c>
      <c r="J4" s="5">
        <v>8.5489657999999996E-2</v>
      </c>
      <c r="K4" s="5" t="s">
        <v>31</v>
      </c>
      <c r="L4" s="6">
        <v>0.42561744600000001</v>
      </c>
      <c r="M4" s="6" t="s">
        <v>32</v>
      </c>
      <c r="N4" s="5">
        <v>0.193781017</v>
      </c>
      <c r="O4" s="5" t="s">
        <v>35</v>
      </c>
      <c r="P4" s="6">
        <v>-0.29890401300000002</v>
      </c>
      <c r="Q4" s="6" t="s">
        <v>69</v>
      </c>
      <c r="R4" s="5">
        <v>0.102872246</v>
      </c>
      <c r="S4" s="5" t="s">
        <v>72</v>
      </c>
      <c r="T4" s="6">
        <v>-1.680676155</v>
      </c>
      <c r="U4" s="6" t="s">
        <v>152</v>
      </c>
      <c r="V4" s="5">
        <v>-0.115506761</v>
      </c>
      <c r="W4" s="5" t="s">
        <v>48</v>
      </c>
      <c r="X4" s="6">
        <v>0.213916301</v>
      </c>
      <c r="Y4" s="6" t="s">
        <v>52</v>
      </c>
      <c r="Z4" s="5">
        <v>-0.10504277099999999</v>
      </c>
      <c r="AA4" s="5" t="s">
        <v>51</v>
      </c>
      <c r="AB4" s="6">
        <v>-6.4530063999999998E-2</v>
      </c>
      <c r="AC4" s="6" t="s">
        <v>50</v>
      </c>
      <c r="AD4" s="5">
        <v>4.6608029999999998E-3</v>
      </c>
      <c r="AE4" s="5" t="s">
        <v>49</v>
      </c>
      <c r="AF4" s="6">
        <v>-0.31603266800000002</v>
      </c>
      <c r="AG4" s="6" t="s">
        <v>109</v>
      </c>
      <c r="AH4" s="5">
        <v>-0.47956990700000002</v>
      </c>
      <c r="AI4" s="5" t="s">
        <v>60</v>
      </c>
      <c r="AJ4" s="6">
        <v>0.42334626400000003</v>
      </c>
      <c r="AK4" s="6" t="s">
        <v>62</v>
      </c>
      <c r="AL4" s="5">
        <v>1.4904278999999999E-2</v>
      </c>
      <c r="AM4" s="5" t="s">
        <v>65</v>
      </c>
      <c r="AN4" s="6">
        <v>0.25526795099999999</v>
      </c>
      <c r="AO4" s="6" t="s">
        <v>118</v>
      </c>
      <c r="CP4" s="7" t="s">
        <v>67</v>
      </c>
    </row>
    <row r="5" spans="1:94" x14ac:dyDescent="0.2">
      <c r="A5" s="5">
        <v>4</v>
      </c>
      <c r="B5" s="5" t="s">
        <v>4</v>
      </c>
      <c r="C5" s="5">
        <v>-0.71945199999999998</v>
      </c>
      <c r="D5" s="6">
        <v>-0.31914999999999999</v>
      </c>
      <c r="E5" s="6" t="s">
        <v>28</v>
      </c>
      <c r="F5" s="5">
        <v>-0.70535599999999998</v>
      </c>
      <c r="G5" s="5" t="s">
        <v>29</v>
      </c>
      <c r="H5" s="6">
        <v>2.2533000000000001E-2</v>
      </c>
      <c r="I5" s="6" t="s">
        <v>30</v>
      </c>
      <c r="J5" s="5">
        <v>-0.130411</v>
      </c>
      <c r="K5" s="5" t="s">
        <v>31</v>
      </c>
      <c r="L5" s="6">
        <v>1.0504119999999999</v>
      </c>
      <c r="M5" s="6" t="s">
        <v>68</v>
      </c>
      <c r="N5" s="5">
        <v>0.14322799999999999</v>
      </c>
      <c r="O5" s="5" t="s">
        <v>32</v>
      </c>
      <c r="P5" s="6">
        <v>-0.18015300000000001</v>
      </c>
      <c r="Q5" s="6" t="s">
        <v>35</v>
      </c>
      <c r="R5" s="5">
        <v>3.5943999999999997E-2</v>
      </c>
      <c r="S5" s="5" t="s">
        <v>69</v>
      </c>
      <c r="T5" s="6">
        <v>1.0501999999999999E-2</v>
      </c>
      <c r="U5" s="6" t="s">
        <v>30</v>
      </c>
      <c r="V5" s="5">
        <v>-1.9455E-2</v>
      </c>
      <c r="W5" s="5" t="s">
        <v>70</v>
      </c>
      <c r="X5" s="6">
        <v>-5.4052000000000003E-2</v>
      </c>
      <c r="Y5" s="6" t="s">
        <v>71</v>
      </c>
      <c r="Z5" s="5">
        <v>-9.0100000000000006E-3</v>
      </c>
      <c r="AA5" s="5" t="s">
        <v>72</v>
      </c>
      <c r="AB5" s="6">
        <v>0.16358700000000001</v>
      </c>
      <c r="AC5" s="6" t="s">
        <v>47</v>
      </c>
      <c r="AD5" s="5">
        <v>0.48485899999999998</v>
      </c>
      <c r="AE5" s="5" t="s">
        <v>48</v>
      </c>
      <c r="AF5" s="6">
        <v>-0.12725400000000001</v>
      </c>
      <c r="AG5" s="6" t="s">
        <v>52</v>
      </c>
      <c r="AH5" s="5">
        <v>-0.458708</v>
      </c>
      <c r="AI5" s="5" t="s">
        <v>73</v>
      </c>
      <c r="AJ5" s="6">
        <v>-3.3515000000000003E-2</v>
      </c>
      <c r="AK5" s="6" t="s">
        <v>74</v>
      </c>
      <c r="AL5" s="5">
        <v>-2.4780000000000002E-3</v>
      </c>
      <c r="AM5" s="5" t="s">
        <v>75</v>
      </c>
      <c r="AN5" s="6">
        <v>-4.2849999999999997E-3</v>
      </c>
      <c r="AO5" s="6" t="s">
        <v>76</v>
      </c>
      <c r="AP5" s="5">
        <v>3.5408000000000002E-2</v>
      </c>
      <c r="AQ5" s="5" t="s">
        <v>51</v>
      </c>
      <c r="AR5" s="6">
        <v>7.7843999999999997E-2</v>
      </c>
      <c r="AS5" s="6" t="s">
        <v>50</v>
      </c>
      <c r="AT5" s="5">
        <v>-9.7524E-2</v>
      </c>
      <c r="AU5" s="5" t="s">
        <v>49</v>
      </c>
      <c r="AV5" s="6">
        <v>0.16988900000000001</v>
      </c>
      <c r="AW5" s="6" t="s">
        <v>85</v>
      </c>
      <c r="AX5" s="5">
        <v>-0.11025</v>
      </c>
      <c r="AY5" s="5" t="s">
        <v>86</v>
      </c>
      <c r="AZ5" s="6">
        <v>-5.3682000000000001E-2</v>
      </c>
      <c r="BA5" s="6" t="s">
        <v>87</v>
      </c>
      <c r="BB5" s="5">
        <v>9.7500000000000003E-2</v>
      </c>
      <c r="BC5" s="5" t="s">
        <v>88</v>
      </c>
      <c r="BD5" s="6">
        <v>5.4327E-2</v>
      </c>
      <c r="BE5" s="6" t="s">
        <v>103</v>
      </c>
      <c r="BF5" s="5">
        <v>5.6779999999999999E-3</v>
      </c>
      <c r="BG5" s="5" t="s">
        <v>104</v>
      </c>
      <c r="BH5" s="6">
        <v>-7.3850000000000001E-3</v>
      </c>
      <c r="BI5" s="6" t="s">
        <v>105</v>
      </c>
      <c r="BJ5" s="5">
        <v>-1.3277000000000001E-2</v>
      </c>
      <c r="BK5" s="5" t="s">
        <v>106</v>
      </c>
      <c r="BL5" s="6">
        <v>-1.1660999999999999E-2</v>
      </c>
      <c r="BM5" s="6" t="s">
        <v>107</v>
      </c>
      <c r="BN5" s="5">
        <v>-4.4780000000000002E-3</v>
      </c>
      <c r="BO5" s="5" t="s">
        <v>108</v>
      </c>
      <c r="BP5" s="6">
        <v>6.8477999999999997E-2</v>
      </c>
      <c r="BQ5" s="6" t="s">
        <v>109</v>
      </c>
      <c r="BR5" s="5">
        <v>-2.3970000000000002E-2</v>
      </c>
      <c r="BS5" s="5" t="s">
        <v>110</v>
      </c>
      <c r="BT5" s="6">
        <v>9.2974000000000001E-2</v>
      </c>
      <c r="BU5" s="6" t="s">
        <v>60</v>
      </c>
      <c r="BV5" s="5">
        <v>2.8679999999999999E-3</v>
      </c>
      <c r="BW5" s="5" t="s">
        <v>111</v>
      </c>
      <c r="BX5" s="6">
        <v>3.5399999999999999E-4</v>
      </c>
      <c r="BY5" s="6" t="s">
        <v>112</v>
      </c>
      <c r="BZ5" s="5">
        <v>4.4149999999999997E-3</v>
      </c>
      <c r="CA5" s="5" t="s">
        <v>113</v>
      </c>
      <c r="CB5" s="6">
        <v>-5.9589999999999999E-3</v>
      </c>
      <c r="CC5" s="6" t="s">
        <v>114</v>
      </c>
      <c r="CD5" s="5">
        <v>0.245366</v>
      </c>
      <c r="CE5" s="5" t="s">
        <v>115</v>
      </c>
      <c r="CF5" s="6">
        <v>-1.3035E-2</v>
      </c>
      <c r="CG5" s="6" t="s">
        <v>116</v>
      </c>
      <c r="CH5" s="7">
        <v>-0.12500600000000001</v>
      </c>
      <c r="CI5" s="7" t="s">
        <v>62</v>
      </c>
      <c r="CJ5" s="6">
        <v>-5.5662000000000003E-2</v>
      </c>
      <c r="CK5" s="6" t="s">
        <v>117</v>
      </c>
      <c r="CL5" s="7">
        <v>-5.0639999999999998E-2</v>
      </c>
      <c r="CM5" s="7" t="s">
        <v>65</v>
      </c>
      <c r="CN5" s="6">
        <v>0.112549</v>
      </c>
      <c r="CO5" s="6" t="s">
        <v>118</v>
      </c>
      <c r="CP5" s="7" t="s">
        <v>67</v>
      </c>
    </row>
    <row r="6" spans="1:94" x14ac:dyDescent="0.2">
      <c r="A6" s="5">
        <v>5</v>
      </c>
      <c r="B6" s="5" t="s">
        <v>5</v>
      </c>
      <c r="C6" s="5">
        <v>-2.8047295600000002</v>
      </c>
      <c r="D6" s="6">
        <v>0.13655018999999999</v>
      </c>
      <c r="E6" s="6" t="s">
        <v>28</v>
      </c>
      <c r="F6" s="5">
        <v>-0.60869165999999997</v>
      </c>
      <c r="G6" s="5" t="s">
        <v>29</v>
      </c>
      <c r="H6" s="6">
        <v>0.38908060999999999</v>
      </c>
      <c r="I6" s="6" t="s">
        <v>31</v>
      </c>
      <c r="J6" s="5">
        <v>-1.0734355099999999</v>
      </c>
      <c r="K6" s="5" t="s">
        <v>161</v>
      </c>
      <c r="L6" s="6">
        <v>-0.31898110000000002</v>
      </c>
      <c r="M6" s="6" t="s">
        <v>35</v>
      </c>
      <c r="N6" s="5">
        <v>5.583258E-2</v>
      </c>
      <c r="O6" s="5" t="s">
        <v>69</v>
      </c>
      <c r="P6" s="6">
        <v>-0.11323576</v>
      </c>
      <c r="Q6" s="6" t="s">
        <v>72</v>
      </c>
      <c r="R6" s="5">
        <v>0.10614274</v>
      </c>
      <c r="S6" s="5" t="s">
        <v>47</v>
      </c>
      <c r="T6" s="6">
        <v>-0.20983375000000001</v>
      </c>
      <c r="U6" s="6" t="s">
        <v>48</v>
      </c>
      <c r="V6" s="5">
        <v>-0.10582749</v>
      </c>
      <c r="W6" s="5" t="s">
        <v>52</v>
      </c>
      <c r="X6" s="6">
        <v>0.33306324999999998</v>
      </c>
      <c r="Y6" s="6" t="s">
        <v>73</v>
      </c>
      <c r="Z6" s="5">
        <v>1.6354879999999999E-2</v>
      </c>
      <c r="AA6" s="5" t="s">
        <v>51</v>
      </c>
      <c r="AB6" s="6">
        <v>3.7831400000000001E-2</v>
      </c>
      <c r="AC6" s="6" t="s">
        <v>50</v>
      </c>
      <c r="AD6" s="5">
        <v>6.1580490000000002E-2</v>
      </c>
      <c r="AE6" s="5" t="s">
        <v>157</v>
      </c>
      <c r="AF6" s="6">
        <v>-0.23786667</v>
      </c>
      <c r="AG6" s="6" t="s">
        <v>115</v>
      </c>
      <c r="AH6" s="5">
        <v>0.15430669</v>
      </c>
      <c r="AI6" s="5" t="s">
        <v>62</v>
      </c>
      <c r="AJ6" s="6">
        <v>1.8120939999999999E-2</v>
      </c>
      <c r="AK6" s="6" t="s">
        <v>162</v>
      </c>
      <c r="CP6" s="7" t="s">
        <v>67</v>
      </c>
    </row>
    <row r="7" spans="1:94" x14ac:dyDescent="0.2">
      <c r="A7" s="5">
        <v>6</v>
      </c>
      <c r="B7" s="5" t="s">
        <v>6</v>
      </c>
      <c r="C7" s="5">
        <v>-1.279741325</v>
      </c>
      <c r="D7" s="6">
        <v>0.197935</v>
      </c>
      <c r="E7" s="6" t="s">
        <v>28</v>
      </c>
      <c r="F7" s="5">
        <v>0.522922</v>
      </c>
      <c r="G7" s="5" t="s">
        <v>29</v>
      </c>
      <c r="H7" s="6">
        <v>-0.31161100000000003</v>
      </c>
      <c r="I7" s="6" t="s">
        <v>30</v>
      </c>
      <c r="J7" s="5">
        <v>0.102231</v>
      </c>
      <c r="K7" s="5" t="s">
        <v>31</v>
      </c>
      <c r="L7" s="6">
        <v>-0.30405599999999999</v>
      </c>
      <c r="M7" s="6" t="s">
        <v>68</v>
      </c>
      <c r="N7" s="5">
        <v>-0.135656</v>
      </c>
      <c r="O7" s="5" t="s">
        <v>32</v>
      </c>
      <c r="P7" s="6">
        <v>0.15152099999999999</v>
      </c>
      <c r="Q7" s="6" t="s">
        <v>35</v>
      </c>
      <c r="R7" s="5">
        <v>-1.0688E-2</v>
      </c>
      <c r="S7" s="5" t="s">
        <v>69</v>
      </c>
      <c r="T7" s="6">
        <v>1.5807999999999999E-2</v>
      </c>
      <c r="U7" s="6" t="s">
        <v>163</v>
      </c>
      <c r="V7" s="5">
        <v>-2.9120000000000001E-3</v>
      </c>
      <c r="W7" s="5" t="s">
        <v>70</v>
      </c>
      <c r="X7" s="6">
        <v>6.6180000000000003E-2</v>
      </c>
      <c r="Y7" s="6" t="s">
        <v>72</v>
      </c>
      <c r="Z7" s="5">
        <v>2.1853000000000001E-2</v>
      </c>
      <c r="AA7" s="5" t="s">
        <v>47</v>
      </c>
      <c r="AB7" s="6">
        <v>-0.16267000000000001</v>
      </c>
      <c r="AC7" s="6" t="s">
        <v>48</v>
      </c>
      <c r="AD7" s="5">
        <v>-3.2946000000000003E-2</v>
      </c>
      <c r="AE7" s="5" t="s">
        <v>52</v>
      </c>
      <c r="AF7" s="6">
        <v>-0.22675500000000001</v>
      </c>
      <c r="AG7" s="6" t="s">
        <v>73</v>
      </c>
      <c r="AH7" s="5">
        <v>2.3600000000000001E-3</v>
      </c>
      <c r="AI7" s="5" t="s">
        <v>74</v>
      </c>
      <c r="AJ7" s="6">
        <v>8.8579999999999996E-3</v>
      </c>
      <c r="AK7" s="6" t="s">
        <v>75</v>
      </c>
      <c r="AL7" s="5">
        <v>-1.5839999999999999E-3</v>
      </c>
      <c r="AM7" s="5" t="s">
        <v>76</v>
      </c>
      <c r="AN7" s="6">
        <v>-2.8802999999999999E-2</v>
      </c>
      <c r="AO7" s="6" t="s">
        <v>51</v>
      </c>
      <c r="AP7" s="5">
        <v>-0.10467</v>
      </c>
      <c r="AQ7" s="5" t="s">
        <v>50</v>
      </c>
      <c r="AR7" s="6">
        <v>-6.3159000000000007E-2</v>
      </c>
      <c r="AS7" s="6" t="s">
        <v>49</v>
      </c>
      <c r="AT7" s="5">
        <v>0.101286</v>
      </c>
      <c r="AU7" s="5" t="s">
        <v>186</v>
      </c>
      <c r="AV7" s="6">
        <v>-0.48324499999999998</v>
      </c>
      <c r="AW7" s="6" t="s">
        <v>185</v>
      </c>
      <c r="AX7" s="5">
        <v>0.25268099999999999</v>
      </c>
      <c r="AY7" s="5" t="s">
        <v>184</v>
      </c>
      <c r="AZ7" s="6">
        <v>-2.043E-2</v>
      </c>
      <c r="BA7" s="6" t="s">
        <v>183</v>
      </c>
      <c r="BB7" s="5">
        <v>-7.6369999999999997E-3</v>
      </c>
      <c r="BC7" s="5" t="s">
        <v>182</v>
      </c>
      <c r="BD7" s="6">
        <v>-5.1500000000000001E-3</v>
      </c>
      <c r="BE7" s="6" t="s">
        <v>181</v>
      </c>
      <c r="BF7" s="5">
        <v>-1.7129999999999999E-3</v>
      </c>
      <c r="BG7" s="5" t="s">
        <v>180</v>
      </c>
      <c r="BH7" s="6">
        <v>-5.9748999999999997E-2</v>
      </c>
      <c r="BI7" s="6" t="s">
        <v>179</v>
      </c>
      <c r="BJ7" s="5">
        <v>-7.4051000000000006E-2</v>
      </c>
      <c r="BK7" s="5" t="s">
        <v>178</v>
      </c>
      <c r="BL7" s="6">
        <v>5.2797999999999998E-2</v>
      </c>
      <c r="BM7" s="6" t="s">
        <v>177</v>
      </c>
      <c r="BN7" s="5">
        <v>2.4660000000000001E-2</v>
      </c>
      <c r="BO7" s="5" t="s">
        <v>176</v>
      </c>
      <c r="BP7" s="6">
        <v>1.6922E-2</v>
      </c>
      <c r="BQ7" s="6" t="s">
        <v>175</v>
      </c>
      <c r="BR7" s="5">
        <v>-3.0980000000000001E-3</v>
      </c>
      <c r="BS7" s="5" t="s">
        <v>174</v>
      </c>
      <c r="BT7" s="6">
        <v>-3.49E-3</v>
      </c>
      <c r="BU7" s="6" t="s">
        <v>173</v>
      </c>
      <c r="BV7" s="5">
        <v>7.4715000000000004E-2</v>
      </c>
      <c r="BW7" s="5" t="s">
        <v>172</v>
      </c>
      <c r="BX7" s="6">
        <v>0.26535599999999998</v>
      </c>
      <c r="BY7" s="6" t="s">
        <v>171</v>
      </c>
      <c r="BZ7" s="5">
        <v>1.5993E-2</v>
      </c>
      <c r="CA7" s="5" t="s">
        <v>170</v>
      </c>
      <c r="CB7" s="6">
        <v>0.24842800000000001</v>
      </c>
      <c r="CC7" s="6" t="s">
        <v>169</v>
      </c>
      <c r="CD7" s="5">
        <v>-2.0805000000000001E-2</v>
      </c>
      <c r="CE7" s="5" t="s">
        <v>168</v>
      </c>
      <c r="CF7" s="6">
        <v>-5.2692999999999997E-2</v>
      </c>
      <c r="CG7" s="6" t="s">
        <v>167</v>
      </c>
      <c r="CH7" s="5">
        <v>-6.3105999999999995E-2</v>
      </c>
      <c r="CI7" s="5" t="s">
        <v>166</v>
      </c>
      <c r="CJ7" s="6">
        <v>-8.8592000000000004E-2</v>
      </c>
      <c r="CK7" s="6" t="s">
        <v>165</v>
      </c>
      <c r="CP7" s="7" t="s">
        <v>67</v>
      </c>
    </row>
    <row r="8" spans="1:94" x14ac:dyDescent="0.2">
      <c r="A8" s="5">
        <v>7</v>
      </c>
      <c r="B8" s="5" t="s">
        <v>7</v>
      </c>
      <c r="C8" s="5">
        <v>0.74290666999999999</v>
      </c>
      <c r="D8" s="6">
        <v>-0.270903</v>
      </c>
      <c r="E8" s="6" t="s">
        <v>28</v>
      </c>
      <c r="F8" s="5">
        <v>0.357983</v>
      </c>
      <c r="G8" s="5" t="s">
        <v>29</v>
      </c>
      <c r="H8" s="6">
        <v>0.16363800000000001</v>
      </c>
      <c r="I8" s="6" t="s">
        <v>31</v>
      </c>
      <c r="J8" s="5">
        <v>-2.0849859999999998</v>
      </c>
      <c r="K8" s="5" t="s">
        <v>68</v>
      </c>
      <c r="L8" s="6">
        <v>-0.72388600000000003</v>
      </c>
      <c r="M8" s="6" t="s">
        <v>32</v>
      </c>
      <c r="N8" s="5">
        <v>-0.50015799999999999</v>
      </c>
      <c r="O8" s="5" t="s">
        <v>35</v>
      </c>
      <c r="P8" s="6">
        <v>-0.442913</v>
      </c>
      <c r="Q8" s="6" t="s">
        <v>69</v>
      </c>
      <c r="R8" s="5">
        <v>-0.88647699999999996</v>
      </c>
      <c r="S8" s="5" t="s">
        <v>72</v>
      </c>
      <c r="T8" s="6">
        <v>0.11915100000000001</v>
      </c>
      <c r="U8" s="6" t="s">
        <v>51</v>
      </c>
      <c r="V8" s="5">
        <v>8.3213999999999996E-2</v>
      </c>
      <c r="W8" s="5" t="s">
        <v>49</v>
      </c>
      <c r="X8" s="6">
        <v>0.39572800000000002</v>
      </c>
      <c r="Y8" s="6" t="s">
        <v>186</v>
      </c>
      <c r="Z8" s="5">
        <v>-0.57014100000000001</v>
      </c>
      <c r="AA8" s="5" t="s">
        <v>187</v>
      </c>
      <c r="AB8" s="6">
        <v>1.3962060000000001</v>
      </c>
      <c r="AC8" s="6" t="s">
        <v>184</v>
      </c>
      <c r="AD8" s="5">
        <v>6.8970000000000004E-2</v>
      </c>
      <c r="AE8" s="5" t="s">
        <v>188</v>
      </c>
      <c r="AF8" s="6">
        <v>-0.16877900000000001</v>
      </c>
      <c r="AG8" s="6" t="s">
        <v>164</v>
      </c>
      <c r="AH8" s="5">
        <v>-0.68945000000000001</v>
      </c>
      <c r="AI8" s="5" t="s">
        <v>167</v>
      </c>
      <c r="AJ8" s="6">
        <v>-0.74435499999999999</v>
      </c>
      <c r="AK8" s="6" t="s">
        <v>165</v>
      </c>
      <c r="CP8" s="7" t="s">
        <v>67</v>
      </c>
    </row>
    <row r="9" spans="1:94" x14ac:dyDescent="0.2">
      <c r="A9" s="5">
        <v>8</v>
      </c>
      <c r="B9" s="5" t="s">
        <v>8</v>
      </c>
      <c r="C9" s="5">
        <v>-0.74286193</v>
      </c>
      <c r="D9" s="6">
        <v>0.270764</v>
      </c>
      <c r="E9" s="6" t="s">
        <v>28</v>
      </c>
      <c r="F9" s="5">
        <v>-0.35805599999999999</v>
      </c>
      <c r="G9" s="5" t="s">
        <v>29</v>
      </c>
      <c r="H9" s="6">
        <v>-0.16356799999999999</v>
      </c>
      <c r="I9" s="6" t="s">
        <v>31</v>
      </c>
      <c r="J9" s="5">
        <v>2.0852400000000002</v>
      </c>
      <c r="K9" s="5" t="s">
        <v>68</v>
      </c>
      <c r="L9" s="6">
        <v>0.72398899999999999</v>
      </c>
      <c r="M9" s="6" t="s">
        <v>32</v>
      </c>
      <c r="N9" s="5">
        <v>0.50011399999999995</v>
      </c>
      <c r="O9" s="5" t="s">
        <v>35</v>
      </c>
      <c r="P9" s="6">
        <v>0.442747</v>
      </c>
      <c r="Q9" s="6" t="s">
        <v>69</v>
      </c>
      <c r="R9" s="5">
        <v>0.88661400000000001</v>
      </c>
      <c r="S9" s="5" t="s">
        <v>72</v>
      </c>
      <c r="T9" s="6">
        <v>-0.11915199999999999</v>
      </c>
      <c r="U9" s="6" t="s">
        <v>51</v>
      </c>
      <c r="V9" s="5">
        <v>-8.3404000000000006E-2</v>
      </c>
      <c r="W9" s="5" t="s">
        <v>49</v>
      </c>
      <c r="X9" s="6">
        <v>-0.39549299999999998</v>
      </c>
      <c r="Y9" s="6" t="s">
        <v>186</v>
      </c>
      <c r="Z9" s="5">
        <v>0.57050599999999996</v>
      </c>
      <c r="AA9" s="5" t="s">
        <v>187</v>
      </c>
      <c r="AB9" s="6">
        <v>-1.3965909999999999</v>
      </c>
      <c r="AC9" s="6" t="s">
        <v>184</v>
      </c>
      <c r="AD9" s="5">
        <v>-6.8986000000000006E-2</v>
      </c>
      <c r="AE9" s="5" t="s">
        <v>188</v>
      </c>
      <c r="AF9" s="6">
        <v>0.16872599999999999</v>
      </c>
      <c r="AG9" s="6" t="s">
        <v>176</v>
      </c>
      <c r="AH9" s="5">
        <v>0.689577</v>
      </c>
      <c r="AI9" s="5" t="s">
        <v>167</v>
      </c>
      <c r="AJ9" s="6">
        <v>0.74434400000000001</v>
      </c>
      <c r="AK9" s="6" t="s">
        <v>165</v>
      </c>
      <c r="CP9" s="7" t="s">
        <v>67</v>
      </c>
    </row>
    <row r="10" spans="1:94" x14ac:dyDescent="0.2">
      <c r="A10" s="5">
        <v>9</v>
      </c>
      <c r="B10" s="5" t="s">
        <v>19</v>
      </c>
      <c r="C10" s="5">
        <v>-0.22612088</v>
      </c>
      <c r="D10" s="9">
        <v>-0.224966</v>
      </c>
      <c r="E10" s="9" t="s">
        <v>28</v>
      </c>
      <c r="F10" s="10">
        <v>0.88305299999999998</v>
      </c>
      <c r="G10" s="10" t="s">
        <v>29</v>
      </c>
      <c r="H10" s="9">
        <v>-9.2086000000000001E-2</v>
      </c>
      <c r="I10" s="9" t="s">
        <v>30</v>
      </c>
      <c r="J10" s="10">
        <v>-2.9132000000000002E-2</v>
      </c>
      <c r="K10" s="10" t="s">
        <v>31</v>
      </c>
      <c r="L10" s="9">
        <v>-0.12656600000000001</v>
      </c>
      <c r="M10" s="9" t="s">
        <v>32</v>
      </c>
      <c r="N10" s="10">
        <v>7.7354000000000006E-2</v>
      </c>
      <c r="O10" s="10" t="s">
        <v>35</v>
      </c>
      <c r="P10" s="9">
        <v>4.8980000000000003E-2</v>
      </c>
      <c r="Q10" s="9" t="s">
        <v>69</v>
      </c>
      <c r="R10" s="10">
        <v>0.13153699999999999</v>
      </c>
      <c r="S10" s="10" t="s">
        <v>72</v>
      </c>
      <c r="T10" s="9">
        <v>-0.144624</v>
      </c>
      <c r="U10" s="9" t="s">
        <v>48</v>
      </c>
      <c r="V10" s="10">
        <v>1.1126E-2</v>
      </c>
      <c r="W10" s="10" t="s">
        <v>189</v>
      </c>
      <c r="X10" s="9">
        <v>1.1738999999999999E-2</v>
      </c>
      <c r="Y10" s="9" t="s">
        <v>76</v>
      </c>
      <c r="Z10" s="10">
        <v>2.8316999999999998E-2</v>
      </c>
      <c r="AA10" s="10" t="s">
        <v>51</v>
      </c>
      <c r="AB10" s="9">
        <v>-0.59237399999999996</v>
      </c>
      <c r="AC10" s="9" t="s">
        <v>184</v>
      </c>
      <c r="AD10" s="10">
        <v>-1.8846999999999999E-2</v>
      </c>
      <c r="AE10" s="10" t="s">
        <v>182</v>
      </c>
      <c r="AF10" s="9">
        <v>1.8606999999999999E-2</v>
      </c>
      <c r="AG10" s="9" t="s">
        <v>190</v>
      </c>
      <c r="AH10" s="10">
        <v>1.9474999999999999E-2</v>
      </c>
      <c r="AI10" s="10" t="s">
        <v>179</v>
      </c>
      <c r="AJ10" s="9">
        <v>0.102933</v>
      </c>
      <c r="AK10" s="9" t="s">
        <v>191</v>
      </c>
      <c r="AL10" s="10">
        <v>-6.1474000000000001E-2</v>
      </c>
      <c r="AM10" s="10" t="s">
        <v>178</v>
      </c>
      <c r="AN10" s="9">
        <v>3.6558E-2</v>
      </c>
      <c r="AO10" s="9" t="s">
        <v>177</v>
      </c>
      <c r="AP10" s="10">
        <v>0.16501299999999999</v>
      </c>
      <c r="AQ10" s="10" t="s">
        <v>176</v>
      </c>
      <c r="AR10" s="9">
        <v>1.1609E-2</v>
      </c>
      <c r="AS10" s="9" t="s">
        <v>175</v>
      </c>
      <c r="AT10" s="10">
        <v>2.6339999999999999E-2</v>
      </c>
      <c r="AU10" s="10" t="s">
        <v>174</v>
      </c>
      <c r="AV10" s="9">
        <v>-2.4649999999999998E-2</v>
      </c>
      <c r="AW10" s="9" t="s">
        <v>172</v>
      </c>
      <c r="AX10" s="10">
        <v>5.9039000000000001E-2</v>
      </c>
      <c r="AY10" s="10" t="s">
        <v>61</v>
      </c>
      <c r="AZ10" s="9">
        <v>0.122209</v>
      </c>
      <c r="BA10" s="9" t="s">
        <v>169</v>
      </c>
      <c r="BB10" s="10">
        <v>9.8418000000000005E-2</v>
      </c>
      <c r="BC10" s="10" t="s">
        <v>167</v>
      </c>
      <c r="CP10" s="7" t="s">
        <v>67</v>
      </c>
    </row>
    <row r="11" spans="1:94" x14ac:dyDescent="0.2">
      <c r="A11" s="5">
        <v>10</v>
      </c>
      <c r="B11" s="5" t="s">
        <v>20</v>
      </c>
      <c r="C11" s="5">
        <v>-0.33903928999999999</v>
      </c>
      <c r="D11" s="6">
        <v>-0.162297</v>
      </c>
      <c r="E11" s="6" t="s">
        <v>28</v>
      </c>
      <c r="F11" s="5">
        <v>-0.595974</v>
      </c>
      <c r="G11" s="5" t="s">
        <v>29</v>
      </c>
      <c r="H11" s="6">
        <v>-0.74608799999999997</v>
      </c>
      <c r="I11" s="6" t="s">
        <v>30</v>
      </c>
      <c r="J11" s="5">
        <v>-0.42910799999999999</v>
      </c>
      <c r="K11" s="5" t="s">
        <v>31</v>
      </c>
      <c r="L11" s="6">
        <v>6.2303999999999998E-2</v>
      </c>
      <c r="M11" s="6" t="s">
        <v>35</v>
      </c>
      <c r="N11" s="5">
        <v>-6.0245E-2</v>
      </c>
      <c r="O11" s="5" t="s">
        <v>69</v>
      </c>
      <c r="P11" s="6">
        <v>2.2263999999999999E-2</v>
      </c>
      <c r="Q11" s="6" t="s">
        <v>163</v>
      </c>
      <c r="R11" s="5">
        <v>-0.329654</v>
      </c>
      <c r="S11" s="5" t="s">
        <v>52</v>
      </c>
      <c r="T11" s="6">
        <v>-2.2048999999999999E-2</v>
      </c>
      <c r="U11" s="6" t="s">
        <v>75</v>
      </c>
      <c r="V11" s="5">
        <v>-7.5092999999999993E-2</v>
      </c>
      <c r="W11" s="5" t="s">
        <v>49</v>
      </c>
      <c r="X11" s="6">
        <v>-0.44991700000000001</v>
      </c>
      <c r="Y11" s="6" t="s">
        <v>178</v>
      </c>
      <c r="Z11" s="5">
        <v>0.58895799999999998</v>
      </c>
      <c r="AA11" s="5" t="s">
        <v>61</v>
      </c>
      <c r="AB11" s="6">
        <v>-0.19421099999999999</v>
      </c>
      <c r="AC11" s="6" t="s">
        <v>169</v>
      </c>
      <c r="AD11" s="5">
        <v>-0.13211800000000001</v>
      </c>
      <c r="AE11" s="5" t="s">
        <v>192</v>
      </c>
      <c r="CP11" s="7" t="s">
        <v>67</v>
      </c>
    </row>
    <row r="12" spans="1:94" x14ac:dyDescent="0.2">
      <c r="A12" s="5">
        <v>11</v>
      </c>
      <c r="B12" s="5" t="s">
        <v>21</v>
      </c>
      <c r="C12" s="5">
        <v>-1.6396963099999999</v>
      </c>
      <c r="D12" s="6">
        <v>0.98169200000000001</v>
      </c>
      <c r="E12" s="6" t="s">
        <v>28</v>
      </c>
      <c r="F12" s="5">
        <v>1.7147870000000001</v>
      </c>
      <c r="G12" s="5" t="s">
        <v>30</v>
      </c>
      <c r="H12" s="6">
        <v>1.0416019999999999</v>
      </c>
      <c r="I12" s="6" t="s">
        <v>31</v>
      </c>
      <c r="J12" s="5">
        <v>-6.6109000000000001E-2</v>
      </c>
      <c r="K12" s="5" t="s">
        <v>163</v>
      </c>
      <c r="L12" s="6">
        <v>-0.51912400000000003</v>
      </c>
      <c r="M12" s="6" t="s">
        <v>72</v>
      </c>
      <c r="N12" s="5">
        <v>5.7883999999999998E-2</v>
      </c>
      <c r="O12" s="5" t="s">
        <v>74</v>
      </c>
      <c r="P12" s="6">
        <v>5.4393999999999998E-2</v>
      </c>
      <c r="Q12" s="6" t="s">
        <v>75</v>
      </c>
      <c r="R12" s="5">
        <v>-0.401001</v>
      </c>
      <c r="S12" s="5" t="s">
        <v>176</v>
      </c>
      <c r="T12" s="6">
        <v>0.131768</v>
      </c>
      <c r="U12" s="6" t="s">
        <v>167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Stears, Alice E</dc:creator>
  <cp:lastModifiedBy>Stears, Alice E</cp:lastModifiedBy>
  <dcterms:created xsi:type="dcterms:W3CDTF">2026-06-12T17:51:42Z</dcterms:created>
  <dcterms:modified xsi:type="dcterms:W3CDTF">2026-06-15T03:52:09Z</dcterms:modified>
</cp:coreProperties>
</file>