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ears/Documents/Dropbox_static/Work/NAU_USGS_postdoc/cleanPED/PED_vegClimModels/Documentation/"/>
    </mc:Choice>
  </mc:AlternateContent>
  <xr:revisionPtr revIDLastSave="0" documentId="13_ncr:1_{D94394C7-6C6C-5249-9FAD-33CA1DD43F29}" xr6:coauthVersionLast="47" xr6:coauthVersionMax="47" xr10:uidLastSave="{00000000-0000-0000-0000-000000000000}"/>
  <bookViews>
    <workbookView xWindow="0" yWindow="660" windowWidth="34560" windowHeight="19780" xr2:uid="{98E7DE87-51F9-4547-B3F7-C03FDBE4D2ED}"/>
  </bookViews>
  <sheets>
    <sheet name="Sheet1" sheetId="1" r:id="rId1"/>
  </sheets>
  <definedNames>
    <definedName name="_xlnm._FilterDatabase" localSheetId="0" hidden="1">Sheet1!$A$1:$A$47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2" i="1"/>
  <c r="G3" i="1"/>
</calcChain>
</file>

<file path=xl/sharedStrings.xml><?xml version="1.0" encoding="utf-8"?>
<sst xmlns="http://schemas.openxmlformats.org/spreadsheetml/2006/main" count="190" uniqueCount="113">
  <si>
    <t>tmin</t>
  </si>
  <si>
    <t>tmax</t>
  </si>
  <si>
    <t>tmean</t>
  </si>
  <si>
    <t>prcp</t>
  </si>
  <si>
    <t>t_warm</t>
  </si>
  <si>
    <t>t_cold</t>
  </si>
  <si>
    <t>prcp_wet</t>
  </si>
  <si>
    <t>prcp_dry</t>
  </si>
  <si>
    <t>prcpTempCorr</t>
  </si>
  <si>
    <t>abvFreezingMonth</t>
  </si>
  <si>
    <t>isothermality</t>
  </si>
  <si>
    <t>annWatDef</t>
  </si>
  <si>
    <t>annWetDegDays</t>
  </si>
  <si>
    <t>VPD_mean</t>
  </si>
  <si>
    <t>VPD_max</t>
  </si>
  <si>
    <t>VPD_min</t>
  </si>
  <si>
    <t>VPD_max_95</t>
  </si>
  <si>
    <t>annWatDef_95</t>
  </si>
  <si>
    <t>annWetDegDays_5</t>
  </si>
  <si>
    <t>frostFreeDays_5</t>
  </si>
  <si>
    <t>frostFreeDays</t>
  </si>
  <si>
    <t>tmean_anom</t>
  </si>
  <si>
    <t>tmin_anom</t>
  </si>
  <si>
    <t>tmax_anom</t>
  </si>
  <si>
    <t>prcp_anom</t>
  </si>
  <si>
    <t>t_warm_anom</t>
  </si>
  <si>
    <t>t_cold_anom</t>
  </si>
  <si>
    <t>prcp_wet_anom</t>
  </si>
  <si>
    <t>precp_dry_anom</t>
  </si>
  <si>
    <t>prcpTempCorr_anom</t>
  </si>
  <si>
    <t>aboveFreezingMonth_anom</t>
  </si>
  <si>
    <t>isothermality_anom</t>
  </si>
  <si>
    <t>annWatDef_anom</t>
  </si>
  <si>
    <t>annWetDegDays_anom</t>
  </si>
  <si>
    <t>VPD_mean_anom</t>
  </si>
  <si>
    <t>VPD_min_anom</t>
  </si>
  <si>
    <t>VPD_max_anom</t>
  </si>
  <si>
    <t>frostFreeDays_anom</t>
  </si>
  <si>
    <t>soilDepth</t>
  </si>
  <si>
    <t>clay</t>
  </si>
  <si>
    <t>sand</t>
  </si>
  <si>
    <t>coarse</t>
  </si>
  <si>
    <t>carbon</t>
  </si>
  <si>
    <t>AWHC</t>
  </si>
  <si>
    <t>Definition</t>
  </si>
  <si>
    <t>CenteringFactor</t>
  </si>
  <si>
    <t>ScalingFactor</t>
  </si>
  <si>
    <t>prcp_seasonality</t>
  </si>
  <si>
    <t>Average annual minimum daily temperature in degrees C, averaged across previous 20-30 years (only used fewer than 30 years of data when the focal year was before 2011)</t>
  </si>
  <si>
    <t>Average annual maximum daily temperature in degrees C, averaged across previous  20-30 years (only used fewer than 30 years of data when the focal year was before 2011)</t>
  </si>
  <si>
    <t>Average annual mean daily temperature in degrees C, averaged across previous  20-30 years (only used fewer than 30 years of data when the focal year was before 2011)</t>
  </si>
  <si>
    <t>total annual daily precip in mm, averaged across previous  20-30 years (only used fewer than 30 years of data when the focal year was before 2011)</t>
  </si>
  <si>
    <t>mean daily maximum temperature in the warmest month in degrees C, averaged across previous 20-30 years (only used fewer than 30 years of data when the focal year was before 2011)</t>
  </si>
  <si>
    <t>mean daily minimum temperature in the coldest month in degrees C, averaged across previous  20-30 years (only used fewer than 30 years of data when the focal year was before 2011)</t>
  </si>
  <si>
    <t>total precipitation in the wettest month in mm, averaged across previous  20-30 years (only used fewer than 30 years of data when the focal year was before 2011)</t>
  </si>
  <si>
    <t>total precipitation in the driest month in mm, averaged across previous  20-30 years (only used fewer than 30 years of data when the focal year was before 2011)</t>
  </si>
  <si>
    <t>The integer index (from 1-12) of the first month in a year when the daily low temperature is above 0 degrees C,  averaged over the previous 20-30 years (only used fewer than 30 years of data when the focal year was before 2011)</t>
  </si>
  <si>
    <t>soil depth at a location in cm, from SOLUS100 data that Daniel revised</t>
  </si>
  <si>
    <t>percent of clay in the soil surface (0-3cm), from SOLUS100 data that Daniel revised</t>
  </si>
  <si>
    <t>average percentage of sand across the soil profile, weighted by profile layer depth, from SOLUS100 data that Daniel revised</t>
  </si>
  <si>
    <t>average percentage of coarse fragments across the soil profile, weighted by profile layer depth, from SOLUS100 data that Daniel revised</t>
  </si>
  <si>
    <t>Percentage of organic matter in the soil surface (0-3cm), from SOLUS100 data that Daniel revised</t>
  </si>
  <si>
    <t>total soil available water holding capacity, from SOLUS100 data that Daniel revised</t>
  </si>
  <si>
    <t>Units</t>
  </si>
  <si>
    <t>degrees Celsius</t>
  </si>
  <si>
    <t>mm</t>
  </si>
  <si>
    <t>correlation</t>
  </si>
  <si>
    <t>isothermal ratio</t>
  </si>
  <si>
    <t>mm of water/degrees celsius</t>
  </si>
  <si>
    <t>degree days</t>
  </si>
  <si>
    <t>milibars</t>
  </si>
  <si>
    <t>days</t>
  </si>
  <si>
    <t>numerical monthly</t>
  </si>
  <si>
    <t>VariableName</t>
  </si>
  <si>
    <t>FinalEquationForScaledVariable_((variable-centering factor)/scaling factor)</t>
  </si>
  <si>
    <t>VariableType</t>
  </si>
  <si>
    <t>Climate</t>
  </si>
  <si>
    <t>Weather Anomaly</t>
  </si>
  <si>
    <t>Soil</t>
  </si>
  <si>
    <t>Average annual minimum daily temperature in degrees C, averaged across previous 3 years, relative to tmin (30 yr. average - 3 yr. average)</t>
  </si>
  <si>
    <t>Average annual mean daily temperature in degrees C, averaged across previous 3 years, relative to tmean (30 yr. average - 3 yr. average)</t>
  </si>
  <si>
    <t>Average annual maximum daily temperature in degrees C, averaged across previous 3 years, relative to tmax (30 yr. average - 3 yr. average)</t>
  </si>
  <si>
    <t>total annual daily precip in mm, averaged across previous 3 years, relative to prcp ((30 year avg. - 3 year avg.) / 30 year avg.)</t>
  </si>
  <si>
    <t>mean daily maximum temperature in the warmest month in degrees C, averaged across previous 3 years, relative to t_warm ( 30 year avg. - 3 year avg.)</t>
  </si>
  <si>
    <t>mean daily minimum temperature in the warmest month in degrees C, averaged across previous 3 years, relative to t_min ( 30 year avg. - 3 year avg.)</t>
  </si>
  <si>
    <t>total precipitation in the wettest month in mm, averaged across previous  3 years, relative to precp_wet ((30 year avg. - 3 year avg.) / 30 year avg.)</t>
  </si>
  <si>
    <t>total precipitation in the driest month in mm, averaged across previous  3 years, relative to precp_dry ((30 year avg. - 3 year avg.) / 30 year avg.)</t>
  </si>
  <si>
    <t>cm</t>
  </si>
  <si>
    <t>%</t>
  </si>
  <si>
    <t>the seasonality of precipitation within a year (standard deviation(monthly precipitation)/mean(monthly precipitation)), averaged across previous 20-30 years (only used fewer than 30 years of data when the focal year was before 2011)</t>
  </si>
  <si>
    <t>prcp_Seasonality_anom</t>
  </si>
  <si>
    <t>the seasonality of precipitation within a year (standard deviation(monthly precipitation)/mean(monthly precipitation)), averaged across previous 3 years, relative to prcp_seasonality (((30 year avg. - 3 year avg.) / 30 year avg.)</t>
  </si>
  <si>
    <t>Correlation of monthly precipitation and temperature in a year, averaged across previous  20-30 years (only used fewer than 30 years of data when the focal year was before 2011)</t>
  </si>
  <si>
    <t>Correlation of monthly precipitation and temperature in a year, averaged across previous  3 years, relative to prcpTempCorr (30 year avg. - 3 year avg.)</t>
  </si>
  <si>
    <t>The integer index (from 1-12) of the first month in a year when the daily low temperature is above 0 degrees C,  averaged over the previous 3 years , relative to aboveFreezingMonth (30 year avg. - 3 year avg.)</t>
  </si>
  <si>
    <t>Annual isothermality (mean(monthly max temps - monthly min temps)/(maximum monthly temperature across year-minimum monthly temperature across year) * 100) ,  averaged over the previous 3 years, relative to isotheramality (30 year avg. - 3 year avg.)</t>
  </si>
  <si>
    <t>Annual isothermality (mean(monthly max temps - monthly min temps)/(maximum monthly temperature across year-minimum monthly temperature across year) * 100) , averaged over the previous 20-30 years (only used fewer than 30 years of data when the focal year was before 2011)</t>
  </si>
  <si>
    <t>Annual water deficit (sum(mean monthly temperature*2 - monthly total precip.), when (mean monthly temperature*2 - monthly total precip.)&gt;0), averaged over the previous 20-30 years (only used fewer than 30 years of data when the focal year was before 2011)</t>
  </si>
  <si>
    <t>95th percentile of annual water deficit across the previous 20-30 years (only used fewer than 30 years of data when the focal year was before 2011)</t>
  </si>
  <si>
    <t>Annual wet degree days (annual wet degree days = sum(monthly tmean * days of the month), for all months where monthly tmean*2 &lt; monthly prcp), averaged over the previous 20-30 years (only used fewer than 30 years of data when the focal year was before 2011)</t>
  </si>
  <si>
    <t>Annual wet degree days averaged over the previous 3 years, relative to annWetDegDays ((30 year avg. - 3 year avg.)/30 year avg.)</t>
  </si>
  <si>
    <t>Annual water deficit (sum(mean monthly temperature*2 - monthly total precip.), when (mean monthly temperature*2 - monthly total precip.)&gt;0), averaged over the previous 3 years, relative to annWatDef ((30 year avg. - 3 year avg.)/30 year avg.)</t>
  </si>
  <si>
    <t>5th percentile of annual wet degree days across the previous 20-30 years (only used fewer than 30 years of data when the focal year was before 2011)</t>
  </si>
  <si>
    <t>The annual number of frost free days in a year (Julian date of the last day of the last month with a monthly minimum temperature above 0 degrees C - Julian date of the first day of the first month with a monthly minimum temperature avoce 0 degrees C) averaged over the previous 20-30 years (only used fewer than 30 years of data when the focal year was before 2011)</t>
  </si>
  <si>
    <t>5th percentile of annual frost free days across the previous 20-30 years (only used fewer than 30 years of data when the focal year was before 2011)</t>
  </si>
  <si>
    <t>Annual frost free days averaged over the previous 3 years, relative to frostFreeDays (30 year avg. - 3 year avg.)</t>
  </si>
  <si>
    <t>Mean annual monthly vapor pressure deficit (monthly VPD = a0+monthly tmean*(a1+monthly tmean *(a2+ monthly tmean*(a3+ monthly tmean*(a4 +monthly tmean *(a5	+ monthly tmean*a6)))))))*100 -  (monthly tmean))/1000, where a0=6.107799961, a1=0.4436518521, a2=0.01428945805, a3=0.0002650648471, a4=0.000003031240396,  a5=0.00000002034080948, a6=0.00000000006136820929; annual VPD = mean(monthlyVPD), where monthly VPD is scaled according to the number of days in the month (e.g. June monthlyVPD is scaled by 30/31), averaged over the previous 20-30 years (only used fewer than 30 years of data when the focal year was before 2011)</t>
  </si>
  <si>
    <t>Maximum annual monthly vapor pressure deficit, averaged over the previous 20-30 years (only used fewer than 30 years of data when the focal year was before 2011)</t>
  </si>
  <si>
    <t>Minimum annual monthly vapor pressure deficit, averaged over the previous 20-30 years (only used fewer than 30 years of data when the focal year was before 2011)</t>
  </si>
  <si>
    <t>95th percentile of annual maximum monthly vapor pressure deficit, averaged over the previous 20-30 years (only used fewer than 30 years of data when the focal year was before 2011)</t>
  </si>
  <si>
    <t>Mean annual monthly vapor pressure deficit, averaged over the previous 3 years, relative to VPD_mean (30 year avg. - 3 year avg.)</t>
  </si>
  <si>
    <t>Maximum annual monthly vapor pressure deficit, averaged over the previous 3 years, relative to VPD_min (30 year avg. - 3 year avg.)</t>
  </si>
  <si>
    <t>Minimum annual monthly vapor pressure deficit, averaged over the previous 3 years, relative to VPD_max (30 year avg. - 3 year avg.)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</si>
</sst>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333333"/>
      <name val="Courier New"/>
      <family val="1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2E5F-54D4-274D-9303-CDA2A4151034}">
  <dimension ref="A1:H47"/>
  <sheetViews>
    <sheetView tabSelected="1" zoomScale="89" workbookViewId="0">
      <selection activeCell="C41" sqref="C41"/>
    </sheetView>
  </sheetViews>
  <sheetFormatPr baseColWidth="10" defaultRowHeight="16" x14ac:dyDescent="0.2"/>
  <cols>
    <col min="1" max="2" width="22.6640625" customWidth="1"/>
    <col min="3" max="3" width="85" style="5" customWidth="1"/>
    <col min="4" max="4" width="22.6640625" customWidth="1"/>
    <col min="5" max="5" width="29.1640625" customWidth="1"/>
    <col min="6" max="6" width="31.83203125" customWidth="1"/>
    <col min="7" max="7" width="65.83203125" customWidth="1"/>
  </cols>
  <sheetData>
    <row r="1" spans="1:8" s="1" customFormat="1" ht="17" x14ac:dyDescent="0.2">
      <c r="A1" s="1" t="s">
        <v>73</v>
      </c>
      <c r="B1" s="1" t="s">
        <v>75</v>
      </c>
      <c r="C1" s="4" t="s">
        <v>44</v>
      </c>
      <c r="D1" s="1" t="s">
        <v>63</v>
      </c>
      <c r="E1" s="1" t="s">
        <v>45</v>
      </c>
      <c r="F1" s="1" t="s">
        <v>46</v>
      </c>
      <c r="G1" s="1" t="s">
        <v>74</v>
      </c>
    </row>
    <row r="2" spans="1:8" ht="34" x14ac:dyDescent="0.2">
      <c r="A2" t="s">
        <v>0</v>
      </c>
      <c r="B2" t="s">
        <v>76</v>
      </c>
      <c r="C2" s="5" t="s">
        <v>48</v>
      </c>
      <c r="D2" t="s">
        <v>64</v>
      </c>
      <c r="E2">
        <v>4.0122059040390701</v>
      </c>
      <c r="F2">
        <v>5.1995437166117</v>
      </c>
      <c r="G2" t="str">
        <f>CONCATENATE("(",A2,"-", E2,")/",F2)</f>
        <v>(tmin-4.01220590403907)/5.1995437166117</v>
      </c>
    </row>
    <row r="3" spans="1:8" ht="34" x14ac:dyDescent="0.2">
      <c r="A3" t="s">
        <v>1</v>
      </c>
      <c r="B3" t="s">
        <v>76</v>
      </c>
      <c r="C3" s="5" t="s">
        <v>49</v>
      </c>
      <c r="D3" t="s">
        <v>64</v>
      </c>
      <c r="E3">
        <v>17.731570603563998</v>
      </c>
      <c r="F3">
        <v>5.48725243552793</v>
      </c>
      <c r="G3" t="str">
        <f>CONCATENATE("(",A3,"-", E3,")/",F3)</f>
        <v>(tmax-17.731570603564)/5.48725243552793</v>
      </c>
    </row>
    <row r="4" spans="1:8" ht="34" x14ac:dyDescent="0.2">
      <c r="A4" t="s">
        <v>2</v>
      </c>
      <c r="B4" t="s">
        <v>76</v>
      </c>
      <c r="C4" s="5" t="s">
        <v>50</v>
      </c>
      <c r="D4" t="s">
        <v>64</v>
      </c>
      <c r="E4">
        <v>10.6678425010975</v>
      </c>
      <c r="F4">
        <v>5.1482307879840103</v>
      </c>
      <c r="G4" t="str">
        <f>CONCATENATE("(",A4,"-", E4,")/",F4)</f>
        <v>(tmean-10.6678425010975)/5.14823078798401</v>
      </c>
      <c r="H4" s="2"/>
    </row>
    <row r="5" spans="1:8" ht="34" x14ac:dyDescent="0.2">
      <c r="A5" t="s">
        <v>3</v>
      </c>
      <c r="B5" t="s">
        <v>76</v>
      </c>
      <c r="C5" s="5" t="s">
        <v>51</v>
      </c>
      <c r="D5" t="s">
        <v>65</v>
      </c>
      <c r="E5">
        <v>767.94900623196702</v>
      </c>
      <c r="F5">
        <v>506.45362111365898</v>
      </c>
      <c r="G5" t="str">
        <f>CONCATENATE("(",A5,"-", E5,")/",F5)</f>
        <v>(prcp-767.949006231967)/506.453621113659</v>
      </c>
    </row>
    <row r="6" spans="1:8" ht="34" x14ac:dyDescent="0.2">
      <c r="A6" t="s">
        <v>4</v>
      </c>
      <c r="B6" t="s">
        <v>76</v>
      </c>
      <c r="C6" s="5" t="s">
        <v>52</v>
      </c>
      <c r="D6" t="s">
        <v>64</v>
      </c>
      <c r="E6">
        <v>30.449927252474001</v>
      </c>
      <c r="F6">
        <v>4.3476804406123302</v>
      </c>
      <c r="G6" t="str">
        <f>CONCATENATE("(",A6,"-", E6,")/",F6)</f>
        <v>(t_warm-30.449927252474)/4.34768044061233</v>
      </c>
    </row>
    <row r="7" spans="1:8" ht="34" x14ac:dyDescent="0.2">
      <c r="A7" t="s">
        <v>5</v>
      </c>
      <c r="B7" t="s">
        <v>76</v>
      </c>
      <c r="C7" s="5" t="s">
        <v>53</v>
      </c>
      <c r="D7" t="s">
        <v>64</v>
      </c>
      <c r="E7">
        <v>-7.5258338439649801</v>
      </c>
      <c r="F7">
        <v>6.4697949661988003</v>
      </c>
      <c r="G7" t="str">
        <f>CONCATENATE("(",A7,"-", E7,")/",F7)</f>
        <v>(t_cold--7.52583384396498)/6.4697949661988</v>
      </c>
    </row>
    <row r="8" spans="1:8" ht="34" x14ac:dyDescent="0.2">
      <c r="A8" t="s">
        <v>6</v>
      </c>
      <c r="B8" t="s">
        <v>76</v>
      </c>
      <c r="C8" s="5" t="s">
        <v>54</v>
      </c>
      <c r="D8" t="s">
        <v>65</v>
      </c>
      <c r="E8">
        <v>159.82365341862501</v>
      </c>
      <c r="F8">
        <v>93.079523167970606</v>
      </c>
      <c r="G8" t="str">
        <f>CONCATENATE("(",A8,"-", E8,")/",F8)</f>
        <v>(prcp_wet-159.823653418625)/93.0795231679706</v>
      </c>
    </row>
    <row r="9" spans="1:8" ht="34" x14ac:dyDescent="0.2">
      <c r="A9" t="s">
        <v>7</v>
      </c>
      <c r="B9" t="s">
        <v>76</v>
      </c>
      <c r="C9" s="5" t="s">
        <v>55</v>
      </c>
      <c r="D9" t="s">
        <v>65</v>
      </c>
      <c r="E9">
        <v>11.2580921180781</v>
      </c>
      <c r="F9">
        <v>14.0389790533078</v>
      </c>
      <c r="G9" t="str">
        <f>CONCATENATE("(",A9,"-", E9,")/",F9)</f>
        <v>(prcp_dry-11.2580921180781)/14.0389790533078</v>
      </c>
    </row>
    <row r="10" spans="1:8" ht="51" x14ac:dyDescent="0.2">
      <c r="A10" t="s">
        <v>47</v>
      </c>
      <c r="B10" t="s">
        <v>76</v>
      </c>
      <c r="C10" s="5" t="s">
        <v>89</v>
      </c>
      <c r="D10" t="s">
        <v>65</v>
      </c>
      <c r="E10">
        <v>0.83177598487217597</v>
      </c>
      <c r="F10">
        <v>0.271176108313752</v>
      </c>
      <c r="G10" t="str">
        <f>CONCATENATE("(",A10,"-", E10,")/",F10)</f>
        <v>(prcp_seasonality-0.831775984872176)/0.271176108313752</v>
      </c>
    </row>
    <row r="11" spans="1:8" ht="34" x14ac:dyDescent="0.2">
      <c r="A11" t="s">
        <v>8</v>
      </c>
      <c r="B11" t="s">
        <v>76</v>
      </c>
      <c r="C11" s="5" t="s">
        <v>92</v>
      </c>
      <c r="D11" t="s">
        <v>66</v>
      </c>
      <c r="E11">
        <v>-2.0079523457116201E-2</v>
      </c>
      <c r="F11">
        <v>0.40677333497693602</v>
      </c>
      <c r="G11" t="str">
        <f>CONCATENATE("(",A11,"-", E11,")/",F11)</f>
        <v>(prcpTempCorr--0.0200795234571162)/0.406773334976936</v>
      </c>
    </row>
    <row r="12" spans="1:8" ht="51" x14ac:dyDescent="0.2">
      <c r="A12" t="s">
        <v>9</v>
      </c>
      <c r="B12" t="s">
        <v>76</v>
      </c>
      <c r="C12" s="5" t="s">
        <v>56</v>
      </c>
      <c r="D12" s="3" t="s">
        <v>72</v>
      </c>
      <c r="E12">
        <v>3.5805781691345899</v>
      </c>
      <c r="F12">
        <v>1.48995370202883</v>
      </c>
      <c r="G12" t="str">
        <f>CONCATENATE("(",A12,"-", E12,")/",F12)</f>
        <v>(abvFreezingMonth-3.58057816913459)/1.48995370202883</v>
      </c>
    </row>
    <row r="13" spans="1:8" ht="51" x14ac:dyDescent="0.2">
      <c r="A13" t="s">
        <v>10</v>
      </c>
      <c r="B13" t="s">
        <v>76</v>
      </c>
      <c r="C13" s="5" t="s">
        <v>96</v>
      </c>
      <c r="D13" t="s">
        <v>67</v>
      </c>
      <c r="E13">
        <v>36.518628273532002</v>
      </c>
      <c r="F13">
        <v>5.41402375388168</v>
      </c>
      <c r="G13" t="str">
        <f>CONCATENATE("(",A13,"-", E13,")/",F13)</f>
        <v>(isothermality-36.518628273532)/5.41402375388168</v>
      </c>
    </row>
    <row r="14" spans="1:8" ht="51" x14ac:dyDescent="0.2">
      <c r="A14" t="s">
        <v>11</v>
      </c>
      <c r="B14" t="s">
        <v>76</v>
      </c>
      <c r="C14" s="5" t="s">
        <v>97</v>
      </c>
      <c r="D14" t="s">
        <v>68</v>
      </c>
      <c r="E14">
        <v>76.725472660449597</v>
      </c>
      <c r="F14">
        <v>84.731607733776201</v>
      </c>
      <c r="G14" t="str">
        <f>CONCATENATE("(",A14,"-", E14,")/",F14)</f>
        <v>(annWatDef-76.7254726604496)/84.7316077337762</v>
      </c>
    </row>
    <row r="15" spans="1:8" ht="51" x14ac:dyDescent="0.2">
      <c r="A15" t="s">
        <v>12</v>
      </c>
      <c r="B15" t="s">
        <v>76</v>
      </c>
      <c r="C15" s="5" t="s">
        <v>99</v>
      </c>
      <c r="D15" t="s">
        <v>69</v>
      </c>
      <c r="E15">
        <v>2415.97304344236</v>
      </c>
      <c r="F15">
        <v>1547.1827400888899</v>
      </c>
      <c r="G15" t="str">
        <f>CONCATENATE("(",A15,"-", E15,")/",F15)</f>
        <v>(annWetDegDays-2415.97304344236)/1547.18274008889</v>
      </c>
    </row>
    <row r="16" spans="1:8" ht="119" x14ac:dyDescent="0.2">
      <c r="A16" t="s">
        <v>13</v>
      </c>
      <c r="B16" t="s">
        <v>76</v>
      </c>
      <c r="C16" s="5" t="s">
        <v>106</v>
      </c>
      <c r="D16" t="s">
        <v>70</v>
      </c>
      <c r="E16">
        <v>1.5124127441693</v>
      </c>
      <c r="F16">
        <v>0.50284805438637004</v>
      </c>
      <c r="G16" t="str">
        <f>CONCATENATE("(",A16,"-", E16,")/",F16)</f>
        <v>(VPD_mean-1.5124127441693)/0.50284805438637</v>
      </c>
    </row>
    <row r="17" spans="1:7" ht="34" x14ac:dyDescent="0.2">
      <c r="A17" t="s">
        <v>14</v>
      </c>
      <c r="B17" t="s">
        <v>76</v>
      </c>
      <c r="C17" s="5" t="s">
        <v>107</v>
      </c>
      <c r="D17" t="s">
        <v>70</v>
      </c>
      <c r="E17">
        <v>2.8411815392075801</v>
      </c>
      <c r="F17">
        <v>0.76235098204111695</v>
      </c>
      <c r="G17" t="str">
        <f>CONCATENATE("(",A17,"-", E17,")/",F17)</f>
        <v>(VPD_max-2.84118153920758)/0.762350982041117</v>
      </c>
    </row>
    <row r="18" spans="1:7" ht="34" x14ac:dyDescent="0.2">
      <c r="A18" t="s">
        <v>15</v>
      </c>
      <c r="B18" t="s">
        <v>76</v>
      </c>
      <c r="C18" s="5" t="s">
        <v>108</v>
      </c>
      <c r="D18" t="s">
        <v>70</v>
      </c>
      <c r="E18">
        <v>0.61411126495141999</v>
      </c>
      <c r="F18">
        <v>0.30004079515615201</v>
      </c>
      <c r="G18" t="str">
        <f>CONCATENATE("(",A18,"-", E18,")/",F18)</f>
        <v>(VPD_min-0.61411126495142)/0.300040795156152</v>
      </c>
    </row>
    <row r="19" spans="1:7" ht="34" x14ac:dyDescent="0.2">
      <c r="A19" t="s">
        <v>16</v>
      </c>
      <c r="B19" t="s">
        <v>76</v>
      </c>
      <c r="C19" s="5" t="s">
        <v>109</v>
      </c>
      <c r="D19" t="s">
        <v>70</v>
      </c>
      <c r="E19">
        <v>3.14880241948353</v>
      </c>
      <c r="F19">
        <v>0.80924754228320706</v>
      </c>
      <c r="G19" t="str">
        <f>CONCATENATE("(",A19,"-", E19,")/",F19)</f>
        <v>(VPD_max_95-3.14880241948353)/0.809247542283207</v>
      </c>
    </row>
    <row r="20" spans="1:7" ht="34" x14ac:dyDescent="0.2">
      <c r="A20" t="s">
        <v>17</v>
      </c>
      <c r="B20" t="s">
        <v>76</v>
      </c>
      <c r="C20" s="5" t="s">
        <v>98</v>
      </c>
      <c r="D20" t="s">
        <v>68</v>
      </c>
      <c r="E20">
        <v>120.24914899261</v>
      </c>
      <c r="F20">
        <v>100.55985115786601</v>
      </c>
      <c r="G20" t="str">
        <f>CONCATENATE("(",A20,"-", E20,")/",F20)</f>
        <v>(annWatDef_95-120.24914899261)/100.559851157866</v>
      </c>
    </row>
    <row r="21" spans="1:7" ht="34" x14ac:dyDescent="0.2">
      <c r="A21" t="s">
        <v>18</v>
      </c>
      <c r="B21" t="s">
        <v>76</v>
      </c>
      <c r="C21" s="5" t="s">
        <v>102</v>
      </c>
      <c r="D21" t="s">
        <v>69</v>
      </c>
      <c r="E21">
        <v>1613.50024612828</v>
      </c>
      <c r="F21">
        <v>1395.1341983463401</v>
      </c>
      <c r="G21" t="str">
        <f>CONCATENATE("(",A21,"-", E21,")/",F21)</f>
        <v>(annWetDegDays_5-1613.50024612828)/1395.13419834634</v>
      </c>
    </row>
    <row r="22" spans="1:7" ht="34" x14ac:dyDescent="0.2">
      <c r="A22" t="s">
        <v>19</v>
      </c>
      <c r="B22" t="s">
        <v>76</v>
      </c>
      <c r="C22" s="5" t="s">
        <v>104</v>
      </c>
      <c r="D22" t="s">
        <v>71</v>
      </c>
      <c r="E22">
        <v>208.58244990022101</v>
      </c>
      <c r="F22">
        <v>76.634374832975396</v>
      </c>
      <c r="G22" t="str">
        <f>CONCATENATE("(",A22,"-", E22,")/",F22)</f>
        <v>(frostFreeDays_5-208.582449900221)/76.6343748329754</v>
      </c>
    </row>
    <row r="23" spans="1:7" ht="68" x14ac:dyDescent="0.2">
      <c r="A23" t="s">
        <v>20</v>
      </c>
      <c r="B23" t="s">
        <v>76</v>
      </c>
      <c r="C23" s="5" t="s">
        <v>103</v>
      </c>
      <c r="D23" t="s">
        <v>71</v>
      </c>
      <c r="E23">
        <v>236.851724545075</v>
      </c>
      <c r="F23">
        <v>74.447076793770506</v>
      </c>
      <c r="G23" t="str">
        <f>CONCATENATE("(",A23,"-", E23,")/",F23)</f>
        <v>(frostFreeDays-236.851724545075)/74.4470767937705</v>
      </c>
    </row>
    <row r="24" spans="1:7" ht="34" x14ac:dyDescent="0.2">
      <c r="A24" t="s">
        <v>21</v>
      </c>
      <c r="B24" t="s">
        <v>77</v>
      </c>
      <c r="C24" s="5" t="s">
        <v>80</v>
      </c>
      <c r="D24" t="s">
        <v>64</v>
      </c>
      <c r="E24">
        <v>-0.32440769267055303</v>
      </c>
      <c r="F24">
        <v>0.39432561642981401</v>
      </c>
      <c r="G24" t="str">
        <f>CONCATENATE("(",A24,"-", E24,")/",F24)</f>
        <v>(tmean_anom--0.324407692670553)/0.394325616429814</v>
      </c>
    </row>
    <row r="25" spans="1:7" ht="34" x14ac:dyDescent="0.2">
      <c r="A25" t="s">
        <v>22</v>
      </c>
      <c r="B25" t="s">
        <v>77</v>
      </c>
      <c r="C25" s="5" t="s">
        <v>79</v>
      </c>
      <c r="D25" t="s">
        <v>64</v>
      </c>
      <c r="E25">
        <v>-0.468818064474605</v>
      </c>
      <c r="F25">
        <v>0.52113605243529404</v>
      </c>
      <c r="G25" t="str">
        <f>CONCATENATE("(",A25,"-", E25,")/",F25)</f>
        <v>(tmin_anom--0.468818064474605)/0.521136052435294</v>
      </c>
    </row>
    <row r="26" spans="1:7" ht="34" x14ac:dyDescent="0.2">
      <c r="A26" t="s">
        <v>23</v>
      </c>
      <c r="B26" t="s">
        <v>77</v>
      </c>
      <c r="C26" s="5" t="s">
        <v>81</v>
      </c>
      <c r="D26" t="s">
        <v>64</v>
      </c>
      <c r="E26">
        <v>-0.192468548675303</v>
      </c>
      <c r="F26">
        <v>0.41209831201139802</v>
      </c>
      <c r="G26" t="str">
        <f>CONCATENATE("(",A26,"-", E26,")/",F26)</f>
        <v>(tmax_anom--0.192468548675303)/0.412098312011398</v>
      </c>
    </row>
    <row r="27" spans="1:7" ht="34" x14ac:dyDescent="0.2">
      <c r="A27" t="s">
        <v>24</v>
      </c>
      <c r="B27" t="s">
        <v>77</v>
      </c>
      <c r="C27" s="5" t="s">
        <v>82</v>
      </c>
      <c r="D27" t="s">
        <v>65</v>
      </c>
      <c r="E27">
        <v>-2.0555029065679801E-2</v>
      </c>
      <c r="F27">
        <v>0.13578365360890499</v>
      </c>
      <c r="G27" t="str">
        <f>CONCATENATE("(",A27,"-", E27,")/",F27)</f>
        <v>(prcp_anom--0.0205550290656798)/0.135783653608905</v>
      </c>
    </row>
    <row r="28" spans="1:7" ht="34" x14ac:dyDescent="0.2">
      <c r="A28" t="s">
        <v>25</v>
      </c>
      <c r="B28" t="s">
        <v>77</v>
      </c>
      <c r="C28" s="5" t="s">
        <v>83</v>
      </c>
      <c r="D28" t="s">
        <v>64</v>
      </c>
      <c r="E28">
        <v>-0.28413198450722199</v>
      </c>
      <c r="F28">
        <v>0.60887283971474004</v>
      </c>
      <c r="G28" t="str">
        <f>CONCATENATE("(",A28,"-", E28,")/",F28)</f>
        <v>(t_warm_anom--0.284131984507222)/0.60887283971474</v>
      </c>
    </row>
    <row r="29" spans="1:7" ht="34" x14ac:dyDescent="0.2">
      <c r="A29" t="s">
        <v>26</v>
      </c>
      <c r="B29" t="s">
        <v>77</v>
      </c>
      <c r="C29" s="5" t="s">
        <v>84</v>
      </c>
      <c r="D29" t="s">
        <v>64</v>
      </c>
      <c r="E29">
        <v>-0.29646702202182401</v>
      </c>
      <c r="F29">
        <v>0.93528790132389195</v>
      </c>
      <c r="G29" t="str">
        <f>CONCATENATE("(",A29,"-", E29,")/",F29)</f>
        <v>(t_cold_anom--0.296467022021824)/0.935287901323892</v>
      </c>
    </row>
    <row r="30" spans="1:7" ht="34" x14ac:dyDescent="0.2">
      <c r="A30" t="s">
        <v>27</v>
      </c>
      <c r="B30" t="s">
        <v>77</v>
      </c>
      <c r="C30" s="5" t="s">
        <v>85</v>
      </c>
      <c r="D30" t="s">
        <v>65</v>
      </c>
      <c r="E30">
        <v>-1.3855626506173399E-2</v>
      </c>
      <c r="F30">
        <v>0.166231863883155</v>
      </c>
      <c r="G30" t="str">
        <f>CONCATENATE("(",A30,"-", E30,")/",F30)</f>
        <v>(prcp_wet_anom--0.0138556265061734)/0.166231863883155</v>
      </c>
    </row>
    <row r="31" spans="1:7" ht="34" x14ac:dyDescent="0.2">
      <c r="A31" t="s">
        <v>28</v>
      </c>
      <c r="B31" t="s">
        <v>77</v>
      </c>
      <c r="C31" s="5" t="s">
        <v>86</v>
      </c>
      <c r="D31" t="s">
        <v>65</v>
      </c>
      <c r="E31">
        <v>-9.5133396808509199E-2</v>
      </c>
      <c r="F31">
        <v>0.93651233118746502</v>
      </c>
      <c r="G31" t="str">
        <f>CONCATENATE("(",A31,"-", E31,")/",F31)</f>
        <v>(precp_dry_anom--0.0951333968085092)/0.936512331187465</v>
      </c>
    </row>
    <row r="32" spans="1:7" ht="51" x14ac:dyDescent="0.2">
      <c r="A32" t="s">
        <v>90</v>
      </c>
      <c r="B32" t="s">
        <v>77</v>
      </c>
      <c r="C32" s="5" t="s">
        <v>91</v>
      </c>
      <c r="D32" t="s">
        <v>65</v>
      </c>
      <c r="E32">
        <v>9.4176531561848496E-3</v>
      </c>
      <c r="F32">
        <v>0.1086670070862</v>
      </c>
      <c r="G32" t="str">
        <f>CONCATENATE("(",A32,"-", E32,")/",F32)</f>
        <v>(prcp_Seasonality_anom-0.00941765315618485)/0.1086670070862</v>
      </c>
    </row>
    <row r="33" spans="1:7" ht="34" x14ac:dyDescent="0.2">
      <c r="A33" t="s">
        <v>29</v>
      </c>
      <c r="B33" t="s">
        <v>77</v>
      </c>
      <c r="C33" s="5" t="s">
        <v>93</v>
      </c>
      <c r="D33" t="s">
        <v>66</v>
      </c>
      <c r="E33">
        <v>-1.35741826558898E-2</v>
      </c>
      <c r="F33">
        <v>0.119480921839482</v>
      </c>
      <c r="G33" t="str">
        <f>CONCATENATE("(",A33,"-", E33,")/",F33)</f>
        <v>(prcpTempCorr_anom--0.0135741826558898)/0.119480921839482</v>
      </c>
    </row>
    <row r="34" spans="1:7" ht="51" x14ac:dyDescent="0.2">
      <c r="A34" t="s">
        <v>30</v>
      </c>
      <c r="B34" t="s">
        <v>77</v>
      </c>
      <c r="C34" s="5" t="s">
        <v>94</v>
      </c>
      <c r="D34" t="s">
        <v>72</v>
      </c>
      <c r="E34">
        <v>4.23596123322117E-2</v>
      </c>
      <c r="F34">
        <v>0.281839592913188</v>
      </c>
      <c r="G34" t="str">
        <f>CONCATENATE("(",A34,"-", E34,")/",F34)</f>
        <v>(aboveFreezingMonth_anom-0.0423596123322117)/0.281839592913188</v>
      </c>
    </row>
    <row r="35" spans="1:7" ht="51" x14ac:dyDescent="0.2">
      <c r="A35" t="s">
        <v>31</v>
      </c>
      <c r="B35" t="s">
        <v>77</v>
      </c>
      <c r="C35" s="5" t="s">
        <v>95</v>
      </c>
      <c r="D35" t="s">
        <v>67</v>
      </c>
      <c r="E35">
        <v>0.75726621699936802</v>
      </c>
      <c r="F35">
        <v>1.1167604902900199</v>
      </c>
      <c r="G35" t="str">
        <f>CONCATENATE("(",A35,"-", E35,")/",F35)</f>
        <v>(isothermality_anom-0.757266216999368)/1.11676049029002</v>
      </c>
    </row>
    <row r="36" spans="1:7" ht="51" x14ac:dyDescent="0.2">
      <c r="A36" t="s">
        <v>32</v>
      </c>
      <c r="B36" t="s">
        <v>77</v>
      </c>
      <c r="C36" s="5" t="s">
        <v>101</v>
      </c>
      <c r="D36" t="s">
        <v>68</v>
      </c>
      <c r="E36">
        <v>3.8189989296959999E-2</v>
      </c>
      <c r="F36">
        <v>0.50248705986295605</v>
      </c>
      <c r="G36" t="str">
        <f>CONCATENATE("(",A36,"-", E36,")/",F36)</f>
        <v>(annWatDef_anom-0.03818998929696)/0.502487059862956</v>
      </c>
    </row>
    <row r="37" spans="1:7" ht="34" x14ac:dyDescent="0.2">
      <c r="A37" t="s">
        <v>33</v>
      </c>
      <c r="B37" t="s">
        <v>77</v>
      </c>
      <c r="C37" s="5" t="s">
        <v>100</v>
      </c>
      <c r="D37" t="s">
        <v>69</v>
      </c>
      <c r="E37">
        <v>-1.60390559745908E-2</v>
      </c>
      <c r="F37">
        <v>0.18242109233884399</v>
      </c>
      <c r="G37" t="str">
        <f>CONCATENATE("(",A37,"-", E37,")/",F37)</f>
        <v>(annWetDegDays_anom--0.0160390559745908)/0.182421092338844</v>
      </c>
    </row>
    <row r="38" spans="1:7" ht="34" x14ac:dyDescent="0.2">
      <c r="A38" t="s">
        <v>34</v>
      </c>
      <c r="B38" t="s">
        <v>77</v>
      </c>
      <c r="C38" s="5" t="s">
        <v>110</v>
      </c>
      <c r="D38" t="s">
        <v>70</v>
      </c>
      <c r="E38">
        <v>-3.6410833818906398E-2</v>
      </c>
      <c r="F38">
        <v>3.6413906550408E-2</v>
      </c>
      <c r="G38" t="str">
        <f>CONCATENATE("(",A38,"-", E38,")/",F38)</f>
        <v>(VPD_mean_anom--0.0364108338189064)/0.036413906550408</v>
      </c>
    </row>
    <row r="39" spans="1:7" ht="34" x14ac:dyDescent="0.2">
      <c r="A39" t="s">
        <v>35</v>
      </c>
      <c r="B39" t="s">
        <v>77</v>
      </c>
      <c r="C39" s="5" t="s">
        <v>111</v>
      </c>
      <c r="D39" t="s">
        <v>70</v>
      </c>
      <c r="E39">
        <v>-5.8710428943087702E-3</v>
      </c>
      <c r="F39">
        <v>2.9382408017497801E-2</v>
      </c>
      <c r="G39" t="str">
        <f>CONCATENATE("(",A39,"-", E39,")/",F39)</f>
        <v>(VPD_min_anom--0.00587104289430877)/0.0293824080174978</v>
      </c>
    </row>
    <row r="40" spans="1:7" ht="34" x14ac:dyDescent="0.2">
      <c r="A40" t="s">
        <v>36</v>
      </c>
      <c r="B40" t="s">
        <v>77</v>
      </c>
      <c r="C40" s="5" t="s">
        <v>112</v>
      </c>
      <c r="D40" t="s">
        <v>70</v>
      </c>
      <c r="E40">
        <v>-7.3889457570778805E-2</v>
      </c>
      <c r="F40">
        <v>8.9883248682316896E-2</v>
      </c>
      <c r="G40" t="str">
        <f>CONCATENATE("(",A40,"-", E40,")/",F40)</f>
        <v>(VPD_max_anom--0.0738894575707788)/0.0898832486823169</v>
      </c>
    </row>
    <row r="41" spans="1:7" ht="34" x14ac:dyDescent="0.2">
      <c r="A41" t="s">
        <v>37</v>
      </c>
      <c r="B41" t="s">
        <v>77</v>
      </c>
      <c r="C41" s="5" t="s">
        <v>105</v>
      </c>
      <c r="D41" t="s">
        <v>71</v>
      </c>
      <c r="E41">
        <v>-3.7549965804199901</v>
      </c>
      <c r="F41">
        <v>11.6921571435392</v>
      </c>
      <c r="G41" t="str">
        <f>CONCATENATE("(",A41,"-", E41,")/",F41)</f>
        <v>(frostFreeDays_anom--3.75499658041999)/11.6921571435392</v>
      </c>
    </row>
    <row r="42" spans="1:7" ht="17" x14ac:dyDescent="0.2">
      <c r="A42" t="s">
        <v>38</v>
      </c>
      <c r="B42" t="s">
        <v>78</v>
      </c>
      <c r="C42" s="5" t="s">
        <v>57</v>
      </c>
      <c r="D42" t="s">
        <v>87</v>
      </c>
      <c r="E42">
        <v>138.57774892326199</v>
      </c>
      <c r="F42">
        <v>40.819652669013202</v>
      </c>
      <c r="G42" t="str">
        <f>CONCATENATE("(",A42,"-", E42,")/",F42)</f>
        <v>(soilDepth-138.577748923262)/40.8196526690132</v>
      </c>
    </row>
    <row r="43" spans="1:7" ht="17" x14ac:dyDescent="0.2">
      <c r="A43" t="s">
        <v>39</v>
      </c>
      <c r="B43" t="s">
        <v>78</v>
      </c>
      <c r="C43" s="5" t="s">
        <v>58</v>
      </c>
      <c r="D43" t="s">
        <v>88</v>
      </c>
      <c r="E43">
        <v>17.455027951543599</v>
      </c>
      <c r="F43">
        <v>8.2332761479950101</v>
      </c>
      <c r="G43" t="str">
        <f>CONCATENATE("(",A43,"-", E43,")/",F43)</f>
        <v>(clay-17.4550279515436)/8.23327614799501</v>
      </c>
    </row>
    <row r="44" spans="1:7" ht="34" x14ac:dyDescent="0.2">
      <c r="A44" t="s">
        <v>40</v>
      </c>
      <c r="B44" t="s">
        <v>78</v>
      </c>
      <c r="C44" s="5" t="s">
        <v>59</v>
      </c>
      <c r="D44" t="s">
        <v>88</v>
      </c>
      <c r="E44">
        <v>46.8276313184098</v>
      </c>
      <c r="F44">
        <v>17.9856764278545</v>
      </c>
      <c r="G44" t="str">
        <f>CONCATENATE("(",A44,"-", E44,")/",F44)</f>
        <v>(sand-46.8276313184098)/17.9856764278545</v>
      </c>
    </row>
    <row r="45" spans="1:7" ht="34" x14ac:dyDescent="0.2">
      <c r="A45" t="s">
        <v>41</v>
      </c>
      <c r="B45" t="s">
        <v>78</v>
      </c>
      <c r="C45" s="5" t="s">
        <v>60</v>
      </c>
      <c r="D45" t="s">
        <v>88</v>
      </c>
      <c r="E45">
        <v>11.183978432117801</v>
      </c>
      <c r="F45">
        <v>11.242342114055299</v>
      </c>
      <c r="G45" t="str">
        <f>CONCATENATE("(",A45,"-", E45,")/",F45)</f>
        <v>(coarse-11.1839784321178)/11.2423421140553</v>
      </c>
    </row>
    <row r="46" spans="1:7" ht="17" x14ac:dyDescent="0.2">
      <c r="A46" t="s">
        <v>42</v>
      </c>
      <c r="B46" t="s">
        <v>78</v>
      </c>
      <c r="C46" s="5" t="s">
        <v>61</v>
      </c>
      <c r="D46" t="s">
        <v>88</v>
      </c>
      <c r="E46">
        <v>4.35253626360503</v>
      </c>
      <c r="F46">
        <v>7.3691034492870804</v>
      </c>
      <c r="G46" t="str">
        <f>CONCATENATE("(",A46,"-", E46,")/",F46)</f>
        <v>(carbon-4.35253626360503)/7.36910344928708</v>
      </c>
    </row>
    <row r="47" spans="1:7" ht="17" x14ac:dyDescent="0.2">
      <c r="A47" t="s">
        <v>43</v>
      </c>
      <c r="B47" t="s">
        <v>78</v>
      </c>
      <c r="C47" s="5" t="s">
        <v>62</v>
      </c>
      <c r="E47">
        <v>14.910293393389701</v>
      </c>
      <c r="F47">
        <v>5.4856826030581702</v>
      </c>
      <c r="G47" t="str">
        <f>CONCATENATE("(",A47,"-", E47,")/",F47)</f>
        <v>(AWHC-14.9102933933897)/5.48568260305817</v>
      </c>
    </row>
  </sheetData>
  <autoFilter ref="A1:A47" xr:uid="{7A462E5F-54D4-274D-9303-CDA2A415103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Stears, Alice E</dc:creator>
  <cp:lastModifiedBy>Stears, Alice E</cp:lastModifiedBy>
  <dcterms:created xsi:type="dcterms:W3CDTF">2026-06-11T21:10:44Z</dcterms:created>
  <dcterms:modified xsi:type="dcterms:W3CDTF">2026-06-12T17:48:35Z</dcterms:modified>
</cp:coreProperties>
</file>